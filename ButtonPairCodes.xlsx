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b58bf48a7331aef/Documents/Arduino/RemotePlugs/"/>
    </mc:Choice>
  </mc:AlternateContent>
  <xr:revisionPtr revIDLastSave="445" documentId="8_{90FE65FA-2C5E-4089-9F54-384E64CC8782}" xr6:coauthVersionLast="47" xr6:coauthVersionMax="47" xr10:uidLastSave="{57D15369-F708-412F-A876-1F29D4100B11}"/>
  <bookViews>
    <workbookView xWindow="28680" yWindow="0" windowWidth="29040" windowHeight="17520" xr2:uid="{1CFF0E8F-40E1-4B34-881B-DC122C3AADDE}"/>
  </bookViews>
  <sheets>
    <sheet name="Old" sheetId="1" r:id="rId1"/>
    <sheet name="N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4" i="2" l="1"/>
  <c r="V24" i="2"/>
  <c r="U24" i="2"/>
  <c r="T24" i="2"/>
  <c r="S24" i="2"/>
  <c r="R24" i="2"/>
  <c r="Q24" i="2"/>
  <c r="P24" i="2"/>
  <c r="O24" i="2"/>
  <c r="N24" i="2"/>
  <c r="W23" i="2"/>
  <c r="V23" i="2"/>
  <c r="U23" i="2"/>
  <c r="T23" i="2"/>
  <c r="S23" i="2"/>
  <c r="R23" i="2"/>
  <c r="Q23" i="2"/>
  <c r="P23" i="2"/>
  <c r="O23" i="2"/>
  <c r="N23" i="2"/>
  <c r="W22" i="2"/>
  <c r="V22" i="2"/>
  <c r="U22" i="2"/>
  <c r="T22" i="2"/>
  <c r="S22" i="2"/>
  <c r="R22" i="2"/>
  <c r="Q22" i="2"/>
  <c r="P22" i="2"/>
  <c r="O22" i="2"/>
  <c r="N22" i="2"/>
  <c r="W21" i="2"/>
  <c r="V21" i="2"/>
  <c r="U21" i="2"/>
  <c r="T21" i="2"/>
  <c r="S21" i="2"/>
  <c r="R21" i="2"/>
  <c r="Q21" i="2"/>
  <c r="P21" i="2"/>
  <c r="O21" i="2"/>
  <c r="N21" i="2"/>
  <c r="W20" i="2"/>
  <c r="V20" i="2"/>
  <c r="U20" i="2"/>
  <c r="T20" i="2"/>
  <c r="S20" i="2"/>
  <c r="R20" i="2"/>
  <c r="Q20" i="2"/>
  <c r="P20" i="2"/>
  <c r="O20" i="2"/>
  <c r="N20" i="2"/>
  <c r="W19" i="2"/>
  <c r="V19" i="2"/>
  <c r="U19" i="2"/>
  <c r="T19" i="2"/>
  <c r="S19" i="2"/>
  <c r="R19" i="2"/>
  <c r="Q19" i="2"/>
  <c r="P19" i="2"/>
  <c r="O19" i="2"/>
  <c r="N19" i="2"/>
  <c r="W18" i="2"/>
  <c r="V18" i="2"/>
  <c r="U18" i="2"/>
  <c r="T18" i="2"/>
  <c r="S18" i="2"/>
  <c r="R18" i="2"/>
  <c r="Q18" i="2"/>
  <c r="P18" i="2"/>
  <c r="O18" i="2"/>
  <c r="N18" i="2"/>
  <c r="W17" i="2"/>
  <c r="V17" i="2"/>
  <c r="U17" i="2"/>
  <c r="T17" i="2"/>
  <c r="S17" i="2"/>
  <c r="R17" i="2"/>
  <c r="Q17" i="2"/>
  <c r="P17" i="2"/>
  <c r="O17" i="2"/>
  <c r="N17" i="2"/>
  <c r="W16" i="2"/>
  <c r="V16" i="2"/>
  <c r="U16" i="2"/>
  <c r="T16" i="2"/>
  <c r="S16" i="2"/>
  <c r="R16" i="2"/>
  <c r="Q16" i="2"/>
  <c r="P16" i="2"/>
  <c r="O16" i="2"/>
  <c r="N16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C15" i="2"/>
  <c r="D15" i="2"/>
  <c r="E15" i="2"/>
  <c r="F15" i="2"/>
  <c r="G15" i="2"/>
  <c r="H15" i="2"/>
  <c r="I15" i="2"/>
  <c r="J15" i="2"/>
  <c r="K15" i="2"/>
  <c r="B15" i="2"/>
  <c r="B1" i="2"/>
  <c r="M4" i="1"/>
  <c r="W4" i="1" s="1"/>
  <c r="N4" i="1"/>
  <c r="X4" i="1" s="1"/>
  <c r="N5" i="1"/>
  <c r="X5" i="1" s="1"/>
  <c r="O4" i="1"/>
  <c r="O5" i="1"/>
  <c r="O6" i="1"/>
  <c r="P4" i="1"/>
  <c r="P5" i="1"/>
  <c r="P6" i="1"/>
  <c r="Z6" i="1" s="1"/>
  <c r="P7" i="1"/>
  <c r="Q4" i="1"/>
  <c r="Q5" i="1"/>
  <c r="Q6" i="1"/>
  <c r="Q7" i="1"/>
  <c r="Q8" i="1"/>
  <c r="R4" i="1"/>
  <c r="AB4" i="1" s="1"/>
  <c r="R5" i="1"/>
  <c r="R6" i="1"/>
  <c r="AB6" i="1" s="1"/>
  <c r="R7" i="1"/>
  <c r="R8" i="1"/>
  <c r="R9" i="1"/>
  <c r="S4" i="1"/>
  <c r="S5" i="1"/>
  <c r="S6" i="1"/>
  <c r="S7" i="1"/>
  <c r="S8" i="1"/>
  <c r="S9" i="1"/>
  <c r="AC9" i="1" s="1"/>
  <c r="S10" i="1"/>
  <c r="T4" i="1"/>
  <c r="AD4" i="1" s="1"/>
  <c r="T5" i="1"/>
  <c r="AD5" i="1" s="1"/>
  <c r="T6" i="1"/>
  <c r="T7" i="1"/>
  <c r="T8" i="1"/>
  <c r="T9" i="1"/>
  <c r="T10" i="1"/>
  <c r="AD10" i="1" s="1"/>
  <c r="T11" i="1"/>
  <c r="AD11" i="1" s="1"/>
  <c r="U4" i="1"/>
  <c r="U5" i="1"/>
  <c r="U6" i="1"/>
  <c r="AE6" i="1" s="1"/>
  <c r="U7" i="1"/>
  <c r="U8" i="1"/>
  <c r="AE8" i="1" s="1"/>
  <c r="U9" i="1"/>
  <c r="U10" i="1"/>
  <c r="AE10" i="1" s="1"/>
  <c r="U11" i="1"/>
  <c r="U12" i="1"/>
  <c r="M3" i="1"/>
  <c r="N3" i="1"/>
  <c r="O3" i="1"/>
  <c r="P3" i="1"/>
  <c r="Q3" i="1"/>
  <c r="R3" i="1"/>
  <c r="AB3" i="1" s="1"/>
  <c r="S3" i="1"/>
  <c r="AC3" i="1" s="1"/>
  <c r="T3" i="1"/>
  <c r="AD3" i="1" s="1"/>
  <c r="U3" i="1"/>
  <c r="L3" i="1"/>
  <c r="V3" i="1" s="1"/>
  <c r="O3" i="2"/>
  <c r="P4" i="2"/>
  <c r="P3" i="2"/>
  <c r="Q6" i="2"/>
  <c r="Q5" i="2"/>
  <c r="Q4" i="2"/>
  <c r="Q3" i="2"/>
  <c r="R6" i="2"/>
  <c r="R5" i="2"/>
  <c r="R4" i="2"/>
  <c r="R3" i="2"/>
  <c r="S7" i="2"/>
  <c r="S6" i="2"/>
  <c r="S5" i="2"/>
  <c r="S4" i="2"/>
  <c r="S3" i="2"/>
  <c r="T8" i="2"/>
  <c r="T7" i="2"/>
  <c r="T6" i="2"/>
  <c r="T5" i="2"/>
  <c r="T4" i="2"/>
  <c r="T3" i="2"/>
  <c r="U9" i="2"/>
  <c r="U8" i="2"/>
  <c r="U7" i="2"/>
  <c r="U6" i="2"/>
  <c r="U5" i="2"/>
  <c r="U4" i="2"/>
  <c r="U3" i="2"/>
  <c r="V10" i="2"/>
  <c r="V9" i="2"/>
  <c r="V8" i="2"/>
  <c r="V7" i="2"/>
  <c r="V6" i="2"/>
  <c r="V5" i="2"/>
  <c r="V4" i="2"/>
  <c r="V3" i="2"/>
  <c r="W11" i="2"/>
  <c r="W10" i="2"/>
  <c r="W9" i="2"/>
  <c r="W8" i="2"/>
  <c r="W7" i="2"/>
  <c r="W6" i="2"/>
  <c r="W5" i="2"/>
  <c r="W4" i="2"/>
  <c r="W3" i="2"/>
  <c r="W12" i="2"/>
  <c r="V11" i="2"/>
  <c r="U10" i="2"/>
  <c r="T9" i="2"/>
  <c r="S8" i="2"/>
  <c r="R7" i="2"/>
  <c r="P5" i="2"/>
  <c r="O4" i="2"/>
  <c r="N3" i="2"/>
  <c r="Y4" i="1"/>
  <c r="Y5" i="1"/>
  <c r="Y6" i="1"/>
  <c r="Z4" i="1"/>
  <c r="Z5" i="1"/>
  <c r="Z7" i="1"/>
  <c r="AA4" i="1"/>
  <c r="AA5" i="1"/>
  <c r="AA6" i="1"/>
  <c r="AA7" i="1"/>
  <c r="AA8" i="1"/>
  <c r="AB5" i="1"/>
  <c r="AB7" i="1"/>
  <c r="AB8" i="1"/>
  <c r="AB9" i="1"/>
  <c r="AC10" i="1"/>
  <c r="AC4" i="1"/>
  <c r="AC5" i="1"/>
  <c r="AC6" i="1"/>
  <c r="AC7" i="1"/>
  <c r="AC8" i="1"/>
  <c r="AD6" i="1"/>
  <c r="AD7" i="1"/>
  <c r="AD8" i="1"/>
  <c r="AD9" i="1"/>
  <c r="AE4" i="1"/>
  <c r="AE5" i="1"/>
  <c r="AE7" i="1"/>
  <c r="AE9" i="1"/>
  <c r="AE11" i="1"/>
  <c r="AE12" i="1"/>
  <c r="W3" i="1"/>
  <c r="X3" i="1"/>
  <c r="Y3" i="1"/>
  <c r="Z3" i="1"/>
  <c r="AA3" i="1"/>
  <c r="AE3" i="1"/>
</calcChain>
</file>

<file path=xl/sharedStrings.xml><?xml version="1.0" encoding="utf-8"?>
<sst xmlns="http://schemas.openxmlformats.org/spreadsheetml/2006/main" count="5" uniqueCount="5">
  <si>
    <t>None</t>
  </si>
  <si>
    <t>OFFSET</t>
  </si>
  <si>
    <t>LOG2</t>
  </si>
  <si>
    <t>Number are added together, unless they're in the same row, in which case it’s both = off + 3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</si>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</sst>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20"/>
      <c:rotY val="27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2801281195782729E-2"/>
          <c:y val="1.8697047651523836E-2"/>
          <c:w val="0.92849530673072644"/>
          <c:h val="0.86679899367189583"/>
        </c:manualLayout>
      </c:layout>
      <c:surface3DChart>
        <c:wireframe val="0"/>
        <c:ser>
          <c:idx val="11"/>
          <c:order val="0"/>
          <c:tx>
            <c:strRef>
              <c:f>Old!$L$2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Old!$L$3:$L$12</c:f>
              <c:numCache>
                <c:formatCode>General</c:formatCode>
                <c:ptCount val="10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772-45C1-8514-61934764EF5F}"/>
            </c:ext>
          </c:extLst>
        </c:ser>
        <c:ser>
          <c:idx val="12"/>
          <c:order val="1"/>
          <c:tx>
            <c:strRef>
              <c:f>Old!$M$2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Old!$M$3:$M$12</c:f>
              <c:numCache>
                <c:formatCode>General</c:formatCode>
                <c:ptCount val="10"/>
                <c:pt idx="0">
                  <c:v>57</c:v>
                </c:pt>
                <c:pt idx="1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772-45C1-8514-61934764EF5F}"/>
            </c:ext>
          </c:extLst>
        </c:ser>
        <c:ser>
          <c:idx val="13"/>
          <c:order val="2"/>
          <c:tx>
            <c:strRef>
              <c:f>Old!$N$2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Old!$N$3:$N$12</c:f>
              <c:numCache>
                <c:formatCode>General</c:formatCode>
                <c:ptCount val="10"/>
                <c:pt idx="0">
                  <c:v>192</c:v>
                </c:pt>
                <c:pt idx="1">
                  <c:v>240</c:v>
                </c:pt>
                <c:pt idx="2">
                  <c:v>252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772-45C1-8514-61934764EF5F}"/>
            </c:ext>
          </c:extLst>
        </c:ser>
        <c:ser>
          <c:idx val="14"/>
          <c:order val="3"/>
          <c:tx>
            <c:strRef>
              <c:f>Old!$O$2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Old!$O$3:$O$12</c:f>
              <c:numCache>
                <c:formatCode>General</c:formatCode>
                <c:ptCount val="10"/>
                <c:pt idx="0">
                  <c:v>201</c:v>
                </c:pt>
                <c:pt idx="1">
                  <c:v>252</c:v>
                </c:pt>
                <c:pt idx="2">
                  <c:v>249</c:v>
                </c:pt>
                <c:pt idx="3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772-45C1-8514-61934764EF5F}"/>
            </c:ext>
          </c:extLst>
        </c:ser>
        <c:ser>
          <c:idx val="15"/>
          <c:order val="4"/>
          <c:tx>
            <c:strRef>
              <c:f>Old!$P$2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Old!$P$3:$P$12</c:f>
              <c:numCache>
                <c:formatCode>General</c:formatCode>
                <c:ptCount val="10"/>
                <c:pt idx="0">
                  <c:v>512</c:v>
                </c:pt>
                <c:pt idx="1">
                  <c:v>560</c:v>
                </c:pt>
                <c:pt idx="2">
                  <c:v>572</c:v>
                </c:pt>
                <c:pt idx="3">
                  <c:v>704</c:v>
                </c:pt>
                <c:pt idx="4">
                  <c:v>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772-45C1-8514-61934764EF5F}"/>
            </c:ext>
          </c:extLst>
        </c:ser>
        <c:ser>
          <c:idx val="16"/>
          <c:order val="5"/>
          <c:tx>
            <c:strRef>
              <c:f>Old!$Q$2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Old!$Q$3:$Q$12</c:f>
              <c:numCache>
                <c:formatCode>General</c:formatCode>
                <c:ptCount val="10"/>
                <c:pt idx="0">
                  <c:v>521</c:v>
                </c:pt>
                <c:pt idx="1">
                  <c:v>572</c:v>
                </c:pt>
                <c:pt idx="2">
                  <c:v>569</c:v>
                </c:pt>
                <c:pt idx="3">
                  <c:v>716</c:v>
                </c:pt>
                <c:pt idx="4">
                  <c:v>713</c:v>
                </c:pt>
                <c:pt idx="5">
                  <c:v>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772-45C1-8514-61934764EF5F}"/>
            </c:ext>
          </c:extLst>
        </c:ser>
        <c:ser>
          <c:idx val="17"/>
          <c:order val="6"/>
          <c:tx>
            <c:strRef>
              <c:f>Old!$R$2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Old!$R$3:$R$12</c:f>
              <c:numCache>
                <c:formatCode>General</c:formatCode>
                <c:ptCount val="10"/>
                <c:pt idx="0">
                  <c:v>2048</c:v>
                </c:pt>
                <c:pt idx="1">
                  <c:v>2096</c:v>
                </c:pt>
                <c:pt idx="2">
                  <c:v>2108</c:v>
                </c:pt>
                <c:pt idx="3">
                  <c:v>2240</c:v>
                </c:pt>
                <c:pt idx="4">
                  <c:v>2252</c:v>
                </c:pt>
                <c:pt idx="5">
                  <c:v>2560</c:v>
                </c:pt>
                <c:pt idx="6">
                  <c:v>2572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772-45C1-8514-61934764EF5F}"/>
            </c:ext>
          </c:extLst>
        </c:ser>
        <c:ser>
          <c:idx val="18"/>
          <c:order val="7"/>
          <c:tx>
            <c:strRef>
              <c:f>Old!$S$2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Old!$S$3:$S$12</c:f>
              <c:numCache>
                <c:formatCode>General</c:formatCode>
                <c:ptCount val="10"/>
                <c:pt idx="0">
                  <c:v>2057</c:v>
                </c:pt>
                <c:pt idx="1">
                  <c:v>2108</c:v>
                </c:pt>
                <c:pt idx="2">
                  <c:v>2105</c:v>
                </c:pt>
                <c:pt idx="3">
                  <c:v>2252</c:v>
                </c:pt>
                <c:pt idx="4">
                  <c:v>2249</c:v>
                </c:pt>
                <c:pt idx="5">
                  <c:v>2620</c:v>
                </c:pt>
                <c:pt idx="6">
                  <c:v>2569</c:v>
                </c:pt>
                <c:pt idx="7">
                  <c:v>2060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772-45C1-8514-61934764EF5F}"/>
            </c:ext>
          </c:extLst>
        </c:ser>
        <c:ser>
          <c:idx val="19"/>
          <c:order val="8"/>
          <c:tx>
            <c:strRef>
              <c:f>Old!$T$2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Old!$T$3:$T$12</c:f>
              <c:numCache>
                <c:formatCode>General</c:formatCode>
                <c:ptCount val="10"/>
                <c:pt idx="0">
                  <c:v>8192</c:v>
                </c:pt>
                <c:pt idx="1">
                  <c:v>8240</c:v>
                </c:pt>
                <c:pt idx="2">
                  <c:v>8252</c:v>
                </c:pt>
                <c:pt idx="3">
                  <c:v>8384</c:v>
                </c:pt>
                <c:pt idx="4">
                  <c:v>8396</c:v>
                </c:pt>
                <c:pt idx="5">
                  <c:v>8704</c:v>
                </c:pt>
                <c:pt idx="6">
                  <c:v>8716</c:v>
                </c:pt>
                <c:pt idx="7">
                  <c:v>10240</c:v>
                </c:pt>
                <c:pt idx="8">
                  <c:v>10252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772-45C1-8514-61934764EF5F}"/>
            </c:ext>
          </c:extLst>
        </c:ser>
        <c:ser>
          <c:idx val="20"/>
          <c:order val="9"/>
          <c:tx>
            <c:strRef>
              <c:f>Old!$U$2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Old!$U$3:$U$12</c:f>
              <c:numCache>
                <c:formatCode>General</c:formatCode>
                <c:ptCount val="10"/>
                <c:pt idx="0">
                  <c:v>8201</c:v>
                </c:pt>
                <c:pt idx="1">
                  <c:v>8252</c:v>
                </c:pt>
                <c:pt idx="2">
                  <c:v>8249</c:v>
                </c:pt>
                <c:pt idx="3">
                  <c:v>8396</c:v>
                </c:pt>
                <c:pt idx="4">
                  <c:v>8393</c:v>
                </c:pt>
                <c:pt idx="5">
                  <c:v>8716</c:v>
                </c:pt>
                <c:pt idx="6">
                  <c:v>8713</c:v>
                </c:pt>
                <c:pt idx="7">
                  <c:v>10252</c:v>
                </c:pt>
                <c:pt idx="8">
                  <c:v>10249</c:v>
                </c:pt>
                <c:pt idx="9">
                  <c:v>8204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772-45C1-8514-61934764EF5F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446758575"/>
        <c:axId val="1446763375"/>
        <c:axId val="1346190287"/>
      </c:surface3DChart>
      <c:catAx>
        <c:axId val="14467585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  <c:auto val="1"/>
        <c:lblAlgn val="ctr"/>
        <c:lblOffset val="100"/>
        <c:noMultiLvlLbl val="0"/>
      </c:catAx>
      <c:valAx>
        <c:axId val="144676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58575"/>
        <c:crosses val="autoZero"/>
        <c:crossBetween val="midCat"/>
      </c:valAx>
      <c:serAx>
        <c:axId val="13461902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20"/>
      <c:rotY val="7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2801281195782729E-2"/>
          <c:y val="1.8697047651523836E-2"/>
          <c:w val="0.92849530673072644"/>
          <c:h val="0.86679899367189583"/>
        </c:manualLayout>
      </c:layout>
      <c:surface3DChart>
        <c:wireframe val="0"/>
        <c:ser>
          <c:idx val="11"/>
          <c:order val="0"/>
          <c:tx>
            <c:strRef>
              <c:f>Old!$V$2</c:f>
              <c:strCache>
                <c:ptCount val="1"/>
                <c:pt idx="0">
                  <c:v>0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Old!$V$3:$V$12</c:f>
              <c:numCache>
                <c:formatCode>General</c:formatCode>
                <c:ptCount val="10"/>
                <c:pt idx="0">
                  <c:v>5.584962500721157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9-4DA7-8783-ACA0DB5856B6}"/>
            </c:ext>
          </c:extLst>
        </c:ser>
        <c:ser>
          <c:idx val="12"/>
          <c:order val="1"/>
          <c:tx>
            <c:strRef>
              <c:f>Old!$W$2</c:f>
              <c:strCache>
                <c:ptCount val="1"/>
                <c:pt idx="0">
                  <c:v>1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Old!$W$3:$W$12</c:f>
              <c:numCache>
                <c:formatCode>General</c:formatCode>
                <c:ptCount val="10"/>
                <c:pt idx="0">
                  <c:v>5.8328900141647422</c:v>
                </c:pt>
                <c:pt idx="1">
                  <c:v>5.9068905956085187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89-4DA7-8783-ACA0DB5856B6}"/>
            </c:ext>
          </c:extLst>
        </c:ser>
        <c:ser>
          <c:idx val="13"/>
          <c:order val="2"/>
          <c:tx>
            <c:strRef>
              <c:f>Old!$X$2</c:f>
              <c:strCache>
                <c:ptCount val="1"/>
                <c:pt idx="0">
                  <c:v>2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Old!$X$3:$X$12</c:f>
              <c:numCache>
                <c:formatCode>General</c:formatCode>
                <c:ptCount val="10"/>
                <c:pt idx="0">
                  <c:v>7.5849625007211561</c:v>
                </c:pt>
                <c:pt idx="1">
                  <c:v>7.9068905956085187</c:v>
                </c:pt>
                <c:pt idx="2">
                  <c:v>7.9772799234999168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89-4DA7-8783-ACA0DB5856B6}"/>
            </c:ext>
          </c:extLst>
        </c:ser>
        <c:ser>
          <c:idx val="14"/>
          <c:order val="3"/>
          <c:tx>
            <c:strRef>
              <c:f>Old!$Y$2</c:f>
              <c:strCache>
                <c:ptCount val="1"/>
                <c:pt idx="0">
                  <c:v>3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Old!$Y$3:$Y$12</c:f>
              <c:numCache>
                <c:formatCode>General</c:formatCode>
                <c:ptCount val="10"/>
                <c:pt idx="0">
                  <c:v>7.651051691178929</c:v>
                </c:pt>
                <c:pt idx="1">
                  <c:v>7.9772799234999168</c:v>
                </c:pt>
                <c:pt idx="2">
                  <c:v>7.9600019320680806</c:v>
                </c:pt>
                <c:pt idx="3">
                  <c:v>7.6724253419714952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89-4DA7-8783-ACA0DB5856B6}"/>
            </c:ext>
          </c:extLst>
        </c:ser>
        <c:ser>
          <c:idx val="15"/>
          <c:order val="4"/>
          <c:tx>
            <c:strRef>
              <c:f>Old!$Z$2</c:f>
              <c:strCache>
                <c:ptCount val="1"/>
                <c:pt idx="0">
                  <c:v>4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Old!$Z$3:$Z$12</c:f>
              <c:numCache>
                <c:formatCode>General</c:formatCode>
                <c:ptCount val="10"/>
                <c:pt idx="0">
                  <c:v>9</c:v>
                </c:pt>
                <c:pt idx="1">
                  <c:v>9.1292830169449672</c:v>
                </c:pt>
                <c:pt idx="2">
                  <c:v>9.1598713367783891</c:v>
                </c:pt>
                <c:pt idx="3">
                  <c:v>9.4594316186372964</c:v>
                </c:pt>
                <c:pt idx="4">
                  <c:v>9.4838157772642564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9-4DA7-8783-ACA0DB5856B6}"/>
            </c:ext>
          </c:extLst>
        </c:ser>
        <c:ser>
          <c:idx val="16"/>
          <c:order val="5"/>
          <c:tx>
            <c:strRef>
              <c:f>Old!$AA$2</c:f>
              <c:strCache>
                <c:ptCount val="1"/>
                <c:pt idx="0">
                  <c:v>5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Old!$AA$3:$AA$12</c:f>
              <c:numCache>
                <c:formatCode>General</c:formatCode>
                <c:ptCount val="10"/>
                <c:pt idx="0">
                  <c:v>9.0251395622785093</c:v>
                </c:pt>
                <c:pt idx="1">
                  <c:v>9.1598713367783891</c:v>
                </c:pt>
                <c:pt idx="2">
                  <c:v>9.1522848423065817</c:v>
                </c:pt>
                <c:pt idx="3">
                  <c:v>9.4838157772642564</c:v>
                </c:pt>
                <c:pt idx="4">
                  <c:v>9.4777582664438889</c:v>
                </c:pt>
                <c:pt idx="5">
                  <c:v>9.0334230015374501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89-4DA7-8783-ACA0DB5856B6}"/>
            </c:ext>
          </c:extLst>
        </c:ser>
        <c:ser>
          <c:idx val="17"/>
          <c:order val="6"/>
          <c:tx>
            <c:strRef>
              <c:f>Old!$AB$2</c:f>
              <c:strCache>
                <c:ptCount val="1"/>
                <c:pt idx="0">
                  <c:v>6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Old!$AB$3:$AB$12</c:f>
              <c:numCache>
                <c:formatCode>General</c:formatCode>
                <c:ptCount val="10"/>
                <c:pt idx="0">
                  <c:v>11</c:v>
                </c:pt>
                <c:pt idx="1">
                  <c:v>11.03342300153745</c:v>
                </c:pt>
                <c:pt idx="2">
                  <c:v>11.041659151637216</c:v>
                </c:pt>
                <c:pt idx="3">
                  <c:v>11.129283016944967</c:v>
                </c:pt>
                <c:pt idx="4">
                  <c:v>11.13699111208023</c:v>
                </c:pt>
                <c:pt idx="5">
                  <c:v>11.321928094887364</c:v>
                </c:pt>
                <c:pt idx="6">
                  <c:v>11.328674927327947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089-4DA7-8783-ACA0DB5856B6}"/>
            </c:ext>
          </c:extLst>
        </c:ser>
        <c:ser>
          <c:idx val="18"/>
          <c:order val="7"/>
          <c:tx>
            <c:strRef>
              <c:f>Old!$AC$2</c:f>
              <c:strCache>
                <c:ptCount val="1"/>
                <c:pt idx="0">
                  <c:v>7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Old!$AC$3:$AC$12</c:f>
              <c:numCache>
                <c:formatCode>General</c:formatCode>
                <c:ptCount val="10"/>
                <c:pt idx="0">
                  <c:v>11.006326078524935</c:v>
                </c:pt>
                <c:pt idx="1">
                  <c:v>11.041659151637216</c:v>
                </c:pt>
                <c:pt idx="2">
                  <c:v>11.039604517953759</c:v>
                </c:pt>
                <c:pt idx="3">
                  <c:v>11.13699111208023</c:v>
                </c:pt>
                <c:pt idx="4">
                  <c:v>11.135067945777816</c:v>
                </c:pt>
                <c:pt idx="5">
                  <c:v>11.355351096424814</c:v>
                </c:pt>
                <c:pt idx="6">
                  <c:v>11.326991174900817</c:v>
                </c:pt>
                <c:pt idx="7">
                  <c:v>11.008428622070582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089-4DA7-8783-ACA0DB5856B6}"/>
            </c:ext>
          </c:extLst>
        </c:ser>
        <c:ser>
          <c:idx val="19"/>
          <c:order val="8"/>
          <c:tx>
            <c:strRef>
              <c:f>Old!$AD$2</c:f>
              <c:strCache>
                <c:ptCount val="1"/>
                <c:pt idx="0">
                  <c:v>8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Old!$AD$3:$AD$12</c:f>
              <c:numCache>
                <c:formatCode>General</c:formatCode>
                <c:ptCount val="10"/>
                <c:pt idx="0">
                  <c:v>13</c:v>
                </c:pt>
                <c:pt idx="1">
                  <c:v>13.00842862207058</c:v>
                </c:pt>
                <c:pt idx="2">
                  <c:v>13.010528105886484</c:v>
                </c:pt>
                <c:pt idx="3">
                  <c:v>13.03342300153745</c:v>
                </c:pt>
                <c:pt idx="4">
                  <c:v>13.035486451292154</c:v>
                </c:pt>
                <c:pt idx="5">
                  <c:v>13.087462841250339</c:v>
                </c:pt>
                <c:pt idx="6">
                  <c:v>13.089450481115907</c:v>
                </c:pt>
                <c:pt idx="7">
                  <c:v>13.321928094887364</c:v>
                </c:pt>
                <c:pt idx="8">
                  <c:v>13.32361776329158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089-4DA7-8783-ACA0DB5856B6}"/>
            </c:ext>
          </c:extLst>
        </c:ser>
        <c:ser>
          <c:idx val="20"/>
          <c:order val="9"/>
          <c:tx>
            <c:strRef>
              <c:f>Old!$AE$2</c:f>
              <c:strCache>
                <c:ptCount val="1"/>
                <c:pt idx="0">
                  <c:v>9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Old!$AE$3:$AE$12</c:f>
              <c:numCache>
                <c:formatCode>General</c:formatCode>
                <c:ptCount val="10"/>
                <c:pt idx="0">
                  <c:v>13.001584122085351</c:v>
                </c:pt>
                <c:pt idx="1">
                  <c:v>13.010528105886484</c:v>
                </c:pt>
                <c:pt idx="2">
                  <c:v>13.010003521295205</c:v>
                </c:pt>
                <c:pt idx="3">
                  <c:v>13.035486451292154</c:v>
                </c:pt>
                <c:pt idx="4">
                  <c:v>13.034970865471829</c:v>
                </c:pt>
                <c:pt idx="5">
                  <c:v>13.089450481115907</c:v>
                </c:pt>
                <c:pt idx="6">
                  <c:v>13.088953827817907</c:v>
                </c:pt>
                <c:pt idx="7">
                  <c:v>13.32361776329158</c:v>
                </c:pt>
                <c:pt idx="8">
                  <c:v>13.32319553167814</c:v>
                </c:pt>
                <c:pt idx="9">
                  <c:v>13.002111776479852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089-4DA7-8783-ACA0DB5856B6}"/>
            </c:ext>
          </c:extLst>
        </c:ser>
        <c:bandFmts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446758575"/>
        <c:axId val="1446763375"/>
        <c:axId val="1346190287"/>
      </c:surface3DChart>
      <c:catAx>
        <c:axId val="14467585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  <c:auto val="1"/>
        <c:lblAlgn val="ctr"/>
        <c:lblOffset val="100"/>
        <c:noMultiLvlLbl val="0"/>
      </c:catAx>
      <c:valAx>
        <c:axId val="144676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58575"/>
        <c:crosses val="autoZero"/>
        <c:crossBetween val="midCat"/>
      </c:valAx>
      <c:serAx>
        <c:axId val="13461902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</c:ser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12</xdr:row>
      <xdr:rowOff>61911</xdr:rowOff>
    </xdr:from>
    <xdr:to>
      <xdr:col>20</xdr:col>
      <xdr:colOff>228599</xdr:colOff>
      <xdr:row>40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554999-62FD-10A9-8D52-5E02E85D2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371475</xdr:colOff>
      <xdr:row>12</xdr:row>
      <xdr:rowOff>95250</xdr:rowOff>
    </xdr:from>
    <xdr:to>
      <xdr:col>39</xdr:col>
      <xdr:colOff>28575</xdr:colOff>
      <xdr:row>41</xdr:row>
      <xdr:rowOff>4763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8DB440-53C5-4952-8194-4A0246AF3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B092-CAA6-4967-8C62-2990C6F4B480}">
  <dimension ref="A1:AE14"/>
  <sheetViews>
    <sheetView tabSelected="1" workbookViewId="0">
      <selection activeCell="E3" sqref="E3"/>
    </sheetView>
  </sheetViews>
  <sheetFormatPr defaultRowHeight="15" x14ac:dyDescent="0.25"/>
  <sheetData>
    <row r="1" spans="1:31" x14ac:dyDescent="0.25">
      <c r="L1" t="s">
        <v>1</v>
      </c>
      <c r="M1">
        <v>1332483</v>
      </c>
      <c r="V1" t="s">
        <v>2</v>
      </c>
    </row>
    <row r="2" spans="1:31" x14ac:dyDescent="0.25"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0</v>
      </c>
      <c r="M2">
        <v>1</v>
      </c>
      <c r="N2">
        <v>2</v>
      </c>
      <c r="O2">
        <v>3</v>
      </c>
      <c r="P2">
        <v>4</v>
      </c>
      <c r="Q2">
        <v>5</v>
      </c>
      <c r="R2">
        <v>6</v>
      </c>
      <c r="S2">
        <v>7</v>
      </c>
      <c r="T2">
        <v>8</v>
      </c>
      <c r="U2">
        <v>9</v>
      </c>
      <c r="V2">
        <v>0</v>
      </c>
      <c r="W2">
        <v>1</v>
      </c>
      <c r="X2">
        <v>2</v>
      </c>
      <c r="Y2">
        <v>3</v>
      </c>
      <c r="Z2">
        <v>4</v>
      </c>
      <c r="AA2">
        <v>5</v>
      </c>
      <c r="AB2">
        <v>6</v>
      </c>
      <c r="AC2">
        <v>7</v>
      </c>
      <c r="AD2">
        <v>8</v>
      </c>
      <c r="AE2">
        <v>9</v>
      </c>
    </row>
    <row r="3" spans="1:31" x14ac:dyDescent="0.25">
      <c r="A3" s="1" t="s">
        <v>0</v>
      </c>
      <c r="B3" s="1">
        <v>1332531</v>
      </c>
      <c r="C3" s="1">
        <v>1332540</v>
      </c>
      <c r="D3" s="1">
        <v>1332675</v>
      </c>
      <c r="E3" s="1">
        <v>1332684</v>
      </c>
      <c r="F3" s="1">
        <v>1332995</v>
      </c>
      <c r="G3" s="1">
        <v>1333004</v>
      </c>
      <c r="H3" s="1">
        <v>1334531</v>
      </c>
      <c r="I3" s="1">
        <v>1334540</v>
      </c>
      <c r="J3" s="1">
        <v>1340675</v>
      </c>
      <c r="K3" s="1">
        <v>1340684</v>
      </c>
      <c r="L3">
        <f>B3-$M$1</f>
        <v>48</v>
      </c>
      <c r="M3">
        <f t="shared" ref="M3:U12" si="0">C3-$M$1</f>
        <v>57</v>
      </c>
      <c r="N3">
        <f t="shared" si="0"/>
        <v>192</v>
      </c>
      <c r="O3">
        <f t="shared" si="0"/>
        <v>201</v>
      </c>
      <c r="P3">
        <f t="shared" si="0"/>
        <v>512</v>
      </c>
      <c r="Q3">
        <f t="shared" si="0"/>
        <v>521</v>
      </c>
      <c r="R3">
        <f t="shared" si="0"/>
        <v>2048</v>
      </c>
      <c r="S3">
        <f t="shared" si="0"/>
        <v>2057</v>
      </c>
      <c r="T3">
        <f t="shared" si="0"/>
        <v>8192</v>
      </c>
      <c r="U3">
        <f t="shared" si="0"/>
        <v>8201</v>
      </c>
      <c r="V3">
        <f>LOG(L3,2)</f>
        <v>5.584962500721157</v>
      </c>
      <c r="W3">
        <f t="shared" ref="W3:AE12" si="1">LOG(M3,2)</f>
        <v>5.8328900141647422</v>
      </c>
      <c r="X3">
        <f t="shared" si="1"/>
        <v>7.5849625007211561</v>
      </c>
      <c r="Y3">
        <f t="shared" si="1"/>
        <v>7.651051691178929</v>
      </c>
      <c r="Z3">
        <f t="shared" si="1"/>
        <v>9</v>
      </c>
      <c r="AA3">
        <f t="shared" si="1"/>
        <v>9.0251395622785093</v>
      </c>
      <c r="AB3">
        <f t="shared" si="1"/>
        <v>11</v>
      </c>
      <c r="AC3">
        <f t="shared" si="1"/>
        <v>11.006326078524935</v>
      </c>
      <c r="AD3">
        <f t="shared" si="1"/>
        <v>13</v>
      </c>
      <c r="AE3">
        <f t="shared" si="1"/>
        <v>13.001584122085351</v>
      </c>
    </row>
    <row r="4" spans="1:31" x14ac:dyDescent="0.25">
      <c r="A4">
        <v>0</v>
      </c>
      <c r="B4" s="1"/>
      <c r="C4">
        <v>1332543</v>
      </c>
      <c r="D4">
        <v>1332723</v>
      </c>
      <c r="E4">
        <v>1332735</v>
      </c>
      <c r="F4">
        <v>1333043</v>
      </c>
      <c r="G4">
        <v>1333055</v>
      </c>
      <c r="H4">
        <v>1334579</v>
      </c>
      <c r="I4">
        <v>1334591</v>
      </c>
      <c r="J4">
        <v>1340723</v>
      </c>
      <c r="K4">
        <v>1340735</v>
      </c>
      <c r="M4">
        <f t="shared" si="0"/>
        <v>60</v>
      </c>
      <c r="N4">
        <f t="shared" si="0"/>
        <v>240</v>
      </c>
      <c r="O4">
        <f t="shared" si="0"/>
        <v>252</v>
      </c>
      <c r="P4">
        <f t="shared" si="0"/>
        <v>560</v>
      </c>
      <c r="Q4">
        <f t="shared" si="0"/>
        <v>572</v>
      </c>
      <c r="R4">
        <f t="shared" si="0"/>
        <v>2096</v>
      </c>
      <c r="S4">
        <f t="shared" si="0"/>
        <v>2108</v>
      </c>
      <c r="T4">
        <f t="shared" si="0"/>
        <v>8240</v>
      </c>
      <c r="U4">
        <f t="shared" si="0"/>
        <v>8252</v>
      </c>
      <c r="W4">
        <f t="shared" si="1"/>
        <v>5.9068905956085187</v>
      </c>
      <c r="X4">
        <f t="shared" si="1"/>
        <v>7.9068905956085187</v>
      </c>
      <c r="Y4">
        <f t="shared" si="1"/>
        <v>7.9772799234999168</v>
      </c>
      <c r="Z4">
        <f t="shared" si="1"/>
        <v>9.1292830169449672</v>
      </c>
      <c r="AA4">
        <f t="shared" si="1"/>
        <v>9.1598713367783891</v>
      </c>
      <c r="AB4">
        <f t="shared" si="1"/>
        <v>11.03342300153745</v>
      </c>
      <c r="AC4">
        <f t="shared" si="1"/>
        <v>11.041659151637216</v>
      </c>
      <c r="AD4">
        <f t="shared" si="1"/>
        <v>13.00842862207058</v>
      </c>
      <c r="AE4">
        <f t="shared" si="1"/>
        <v>13.010528105886484</v>
      </c>
    </row>
    <row r="5" spans="1:31" x14ac:dyDescent="0.25">
      <c r="A5" s="1">
        <v>1</v>
      </c>
      <c r="B5" s="1"/>
      <c r="C5" s="1"/>
      <c r="D5" s="1">
        <v>1332735</v>
      </c>
      <c r="E5" s="1">
        <v>1332732</v>
      </c>
      <c r="F5" s="1">
        <v>1333055</v>
      </c>
      <c r="G5" s="1">
        <v>1333052</v>
      </c>
      <c r="H5" s="1">
        <v>1334591</v>
      </c>
      <c r="I5" s="1">
        <v>1334588</v>
      </c>
      <c r="J5" s="1">
        <v>1340735</v>
      </c>
      <c r="K5" s="1">
        <v>1340732</v>
      </c>
      <c r="N5">
        <f t="shared" si="0"/>
        <v>252</v>
      </c>
      <c r="O5">
        <f t="shared" si="0"/>
        <v>249</v>
      </c>
      <c r="P5">
        <f t="shared" si="0"/>
        <v>572</v>
      </c>
      <c r="Q5">
        <f t="shared" si="0"/>
        <v>569</v>
      </c>
      <c r="R5">
        <f t="shared" si="0"/>
        <v>2108</v>
      </c>
      <c r="S5">
        <f t="shared" si="0"/>
        <v>2105</v>
      </c>
      <c r="T5">
        <f t="shared" si="0"/>
        <v>8252</v>
      </c>
      <c r="U5">
        <f t="shared" si="0"/>
        <v>8249</v>
      </c>
      <c r="X5">
        <f t="shared" si="1"/>
        <v>7.9772799234999168</v>
      </c>
      <c r="Y5">
        <f t="shared" si="1"/>
        <v>7.9600019320680806</v>
      </c>
      <c r="Z5">
        <f t="shared" si="1"/>
        <v>9.1598713367783891</v>
      </c>
      <c r="AA5">
        <f t="shared" si="1"/>
        <v>9.1522848423065817</v>
      </c>
      <c r="AB5">
        <f t="shared" si="1"/>
        <v>11.041659151637216</v>
      </c>
      <c r="AC5">
        <f t="shared" si="1"/>
        <v>11.039604517953759</v>
      </c>
      <c r="AD5">
        <f t="shared" si="1"/>
        <v>13.010528105886484</v>
      </c>
      <c r="AE5">
        <f t="shared" si="1"/>
        <v>13.010003521295205</v>
      </c>
    </row>
    <row r="6" spans="1:31" x14ac:dyDescent="0.25">
      <c r="A6">
        <v>2</v>
      </c>
      <c r="B6" s="1"/>
      <c r="C6" s="1"/>
      <c r="D6" s="1"/>
      <c r="E6">
        <v>1332687</v>
      </c>
      <c r="F6">
        <v>1333187</v>
      </c>
      <c r="G6">
        <v>1333199</v>
      </c>
      <c r="H6">
        <v>1334723</v>
      </c>
      <c r="I6">
        <v>1334735</v>
      </c>
      <c r="J6">
        <v>1340867</v>
      </c>
      <c r="K6">
        <v>1340879</v>
      </c>
      <c r="O6">
        <f t="shared" si="0"/>
        <v>204</v>
      </c>
      <c r="P6">
        <f t="shared" si="0"/>
        <v>704</v>
      </c>
      <c r="Q6">
        <f t="shared" si="0"/>
        <v>716</v>
      </c>
      <c r="R6">
        <f t="shared" si="0"/>
        <v>2240</v>
      </c>
      <c r="S6">
        <f t="shared" si="0"/>
        <v>2252</v>
      </c>
      <c r="T6">
        <f t="shared" si="0"/>
        <v>8384</v>
      </c>
      <c r="U6">
        <f t="shared" si="0"/>
        <v>8396</v>
      </c>
      <c r="Y6">
        <f t="shared" si="1"/>
        <v>7.6724253419714952</v>
      </c>
      <c r="Z6">
        <f t="shared" si="1"/>
        <v>9.4594316186372964</v>
      </c>
      <c r="AA6">
        <f t="shared" si="1"/>
        <v>9.4838157772642564</v>
      </c>
      <c r="AB6">
        <f t="shared" si="1"/>
        <v>11.129283016944967</v>
      </c>
      <c r="AC6">
        <f t="shared" si="1"/>
        <v>11.13699111208023</v>
      </c>
      <c r="AD6">
        <f t="shared" si="1"/>
        <v>13.03342300153745</v>
      </c>
      <c r="AE6">
        <f t="shared" si="1"/>
        <v>13.035486451292154</v>
      </c>
    </row>
    <row r="7" spans="1:31" x14ac:dyDescent="0.25">
      <c r="A7" s="1">
        <v>3</v>
      </c>
      <c r="B7" s="1"/>
      <c r="C7" s="1"/>
      <c r="D7" s="1"/>
      <c r="E7" s="1"/>
      <c r="F7" s="1">
        <v>1333199</v>
      </c>
      <c r="G7" s="1">
        <v>1333196</v>
      </c>
      <c r="H7" s="1">
        <v>1334735</v>
      </c>
      <c r="I7" s="1">
        <v>1334732</v>
      </c>
      <c r="J7" s="1">
        <v>1340879</v>
      </c>
      <c r="K7" s="1">
        <v>1340876</v>
      </c>
      <c r="P7">
        <f t="shared" si="0"/>
        <v>716</v>
      </c>
      <c r="Q7">
        <f t="shared" si="0"/>
        <v>713</v>
      </c>
      <c r="R7">
        <f t="shared" si="0"/>
        <v>2252</v>
      </c>
      <c r="S7">
        <f t="shared" si="0"/>
        <v>2249</v>
      </c>
      <c r="T7">
        <f t="shared" si="0"/>
        <v>8396</v>
      </c>
      <c r="U7">
        <f t="shared" si="0"/>
        <v>8393</v>
      </c>
      <c r="Z7">
        <f t="shared" si="1"/>
        <v>9.4838157772642564</v>
      </c>
      <c r="AA7">
        <f t="shared" si="1"/>
        <v>9.4777582664438889</v>
      </c>
      <c r="AB7">
        <f t="shared" si="1"/>
        <v>11.13699111208023</v>
      </c>
      <c r="AC7">
        <f t="shared" si="1"/>
        <v>11.135067945777816</v>
      </c>
      <c r="AD7">
        <f t="shared" si="1"/>
        <v>13.035486451292154</v>
      </c>
      <c r="AE7">
        <f t="shared" si="1"/>
        <v>13.034970865471829</v>
      </c>
    </row>
    <row r="8" spans="1:31" x14ac:dyDescent="0.25">
      <c r="A8">
        <v>4</v>
      </c>
      <c r="B8" s="1"/>
      <c r="C8" s="1"/>
      <c r="D8" s="1"/>
      <c r="E8" s="1"/>
      <c r="F8" s="1"/>
      <c r="G8">
        <v>1333007</v>
      </c>
      <c r="H8">
        <v>1335043</v>
      </c>
      <c r="I8">
        <v>1335103</v>
      </c>
      <c r="J8">
        <v>1341187</v>
      </c>
      <c r="K8">
        <v>1341199</v>
      </c>
      <c r="N8" t="s">
        <v>4</v>
      </c>
      <c r="Q8">
        <f t="shared" si="0"/>
        <v>524</v>
      </c>
      <c r="R8">
        <f t="shared" si="0"/>
        <v>2560</v>
      </c>
      <c r="S8">
        <f t="shared" si="0"/>
        <v>2620</v>
      </c>
      <c r="T8">
        <f t="shared" si="0"/>
        <v>8704</v>
      </c>
      <c r="U8">
        <f t="shared" si="0"/>
        <v>8716</v>
      </c>
      <c r="AA8">
        <f t="shared" si="1"/>
        <v>9.0334230015374501</v>
      </c>
      <c r="AB8">
        <f t="shared" si="1"/>
        <v>11.321928094887364</v>
      </c>
      <c r="AC8">
        <f t="shared" si="1"/>
        <v>11.355351096424814</v>
      </c>
      <c r="AD8">
        <f t="shared" si="1"/>
        <v>13.087462841250339</v>
      </c>
      <c r="AE8">
        <f t="shared" si="1"/>
        <v>13.089450481115907</v>
      </c>
    </row>
    <row r="9" spans="1:31" x14ac:dyDescent="0.25">
      <c r="A9" s="1">
        <v>5</v>
      </c>
      <c r="B9" s="1"/>
      <c r="C9" s="1"/>
      <c r="D9" s="1"/>
      <c r="E9" s="1"/>
      <c r="F9" s="1"/>
      <c r="G9" s="1"/>
      <c r="H9" s="1">
        <v>1335055</v>
      </c>
      <c r="I9" s="1">
        <v>1335052</v>
      </c>
      <c r="J9" s="1">
        <v>1341199</v>
      </c>
      <c r="K9" s="1">
        <v>1341196</v>
      </c>
      <c r="R9">
        <f t="shared" si="0"/>
        <v>2572</v>
      </c>
      <c r="S9">
        <f t="shared" si="0"/>
        <v>2569</v>
      </c>
      <c r="T9">
        <f t="shared" si="0"/>
        <v>8716</v>
      </c>
      <c r="U9">
        <f t="shared" si="0"/>
        <v>8713</v>
      </c>
      <c r="AB9">
        <f t="shared" si="1"/>
        <v>11.328674927327947</v>
      </c>
      <c r="AC9">
        <f t="shared" si="1"/>
        <v>11.326991174900817</v>
      </c>
      <c r="AD9">
        <f t="shared" si="1"/>
        <v>13.089450481115907</v>
      </c>
      <c r="AE9">
        <f t="shared" si="1"/>
        <v>13.088953827817907</v>
      </c>
    </row>
    <row r="10" spans="1:31" x14ac:dyDescent="0.25">
      <c r="A10">
        <v>6</v>
      </c>
      <c r="B10" s="1"/>
      <c r="C10" s="1"/>
      <c r="D10" s="1"/>
      <c r="E10" s="1"/>
      <c r="F10" s="1"/>
      <c r="G10" s="1"/>
      <c r="H10" s="1"/>
      <c r="I10">
        <v>1334543</v>
      </c>
      <c r="J10">
        <v>1342723</v>
      </c>
      <c r="K10">
        <v>1342735</v>
      </c>
      <c r="S10">
        <f t="shared" si="0"/>
        <v>2060</v>
      </c>
      <c r="T10">
        <f t="shared" si="0"/>
        <v>10240</v>
      </c>
      <c r="U10">
        <f t="shared" si="0"/>
        <v>10252</v>
      </c>
      <c r="AC10">
        <f t="shared" si="1"/>
        <v>11.008428622070582</v>
      </c>
      <c r="AD10">
        <f t="shared" si="1"/>
        <v>13.321928094887364</v>
      </c>
      <c r="AE10">
        <f t="shared" si="1"/>
        <v>13.32361776329158</v>
      </c>
    </row>
    <row r="11" spans="1:31" x14ac:dyDescent="0.25">
      <c r="A11" s="1">
        <v>7</v>
      </c>
      <c r="B11" s="1"/>
      <c r="C11" s="1"/>
      <c r="D11" s="1"/>
      <c r="E11" s="1"/>
      <c r="F11" s="1"/>
      <c r="G11" s="1"/>
      <c r="H11" s="1"/>
      <c r="I11" s="1"/>
      <c r="J11" s="1">
        <v>1342735</v>
      </c>
      <c r="K11" s="1">
        <v>1342732</v>
      </c>
      <c r="T11">
        <f t="shared" si="0"/>
        <v>10252</v>
      </c>
      <c r="U11">
        <f t="shared" si="0"/>
        <v>10249</v>
      </c>
      <c r="AD11">
        <f t="shared" si="1"/>
        <v>13.32361776329158</v>
      </c>
      <c r="AE11">
        <f t="shared" si="1"/>
        <v>13.32319553167814</v>
      </c>
    </row>
    <row r="12" spans="1:31" x14ac:dyDescent="0.25">
      <c r="A12">
        <v>8</v>
      </c>
      <c r="B12" s="1"/>
      <c r="C12" s="1"/>
      <c r="D12" s="1"/>
      <c r="E12" s="1"/>
      <c r="F12" s="1"/>
      <c r="G12" s="1"/>
      <c r="H12" s="1"/>
      <c r="I12" s="1"/>
      <c r="J12" s="1"/>
      <c r="K12">
        <v>1340687</v>
      </c>
      <c r="U12">
        <f t="shared" si="0"/>
        <v>8204</v>
      </c>
      <c r="AE12">
        <f t="shared" si="1"/>
        <v>13.002111776479852</v>
      </c>
    </row>
    <row r="14" spans="1:31" ht="75" customHeight="1" x14ac:dyDescent="0.25">
      <c r="A14" s="5" t="s">
        <v>3</v>
      </c>
      <c r="B14" s="5"/>
      <c r="C14" s="5"/>
      <c r="D14" s="5"/>
    </row>
  </sheetData>
  <mergeCells count="1">
    <mergeCell ref="A14:D14"/>
  </mergeCells>
  <conditionalFormatting sqref="B3:K3 D5:K5 E6:K6 F7:K7 G8:K8 H9:K9 I10:K10 J11:K11 K12 C4:K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A154-0203-44D1-86AD-7A84208BE603}">
  <dimension ref="A1:W24"/>
  <sheetViews>
    <sheetView workbookViewId="0">
      <selection activeCell="B15" sqref="B15"/>
    </sheetView>
  </sheetViews>
  <sheetFormatPr defaultRowHeight="15" x14ac:dyDescent="0.25"/>
  <sheetData>
    <row r="1" spans="1:23" x14ac:dyDescent="0.25">
      <c r="B1">
        <f>POWER(2,24)</f>
        <v>16777216</v>
      </c>
    </row>
    <row r="2" spans="1:23" x14ac:dyDescent="0.25">
      <c r="A2" s="3"/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M2" s="3"/>
      <c r="N2">
        <v>4</v>
      </c>
      <c r="O2">
        <v>5</v>
      </c>
      <c r="P2">
        <v>2</v>
      </c>
      <c r="Q2">
        <v>3</v>
      </c>
      <c r="R2">
        <v>8</v>
      </c>
      <c r="S2">
        <v>9</v>
      </c>
      <c r="T2">
        <v>0</v>
      </c>
      <c r="U2">
        <v>1</v>
      </c>
      <c r="V2">
        <v>6</v>
      </c>
      <c r="W2">
        <v>7</v>
      </c>
    </row>
    <row r="3" spans="1:23" x14ac:dyDescent="0.25">
      <c r="A3" s="4">
        <v>0</v>
      </c>
      <c r="B3" s="2">
        <v>15404668</v>
      </c>
      <c r="C3" s="2">
        <v>15404668</v>
      </c>
      <c r="D3" s="2">
        <v>15404670</v>
      </c>
      <c r="E3" s="2">
        <v>15404670</v>
      </c>
      <c r="F3" s="2">
        <v>15404669</v>
      </c>
      <c r="G3" s="2">
        <v>15404669</v>
      </c>
      <c r="H3" s="2">
        <v>15404669</v>
      </c>
      <c r="I3" s="2">
        <v>15404669</v>
      </c>
      <c r="J3" s="2">
        <v>15404671</v>
      </c>
      <c r="K3" s="2">
        <v>15404671</v>
      </c>
      <c r="M3" s="4">
        <v>4</v>
      </c>
      <c r="N3" s="2">
        <f>F7</f>
        <v>15404665</v>
      </c>
      <c r="O3" s="2">
        <f>G7</f>
        <v>15404665</v>
      </c>
      <c r="P3" s="2">
        <f>F5</f>
        <v>15404667</v>
      </c>
      <c r="Q3" s="2">
        <f>F6</f>
        <v>15404667</v>
      </c>
      <c r="R3" s="2">
        <f>J7</f>
        <v>15404667</v>
      </c>
      <c r="S3" s="2">
        <f>K7</f>
        <v>15404667</v>
      </c>
      <c r="T3" s="2">
        <f>F3</f>
        <v>15404669</v>
      </c>
      <c r="U3" s="2">
        <f>F4</f>
        <v>15404669</v>
      </c>
      <c r="V3" s="2">
        <f>H7</f>
        <v>15404669</v>
      </c>
      <c r="W3" s="2">
        <f>I7</f>
        <v>15404669</v>
      </c>
    </row>
    <row r="4" spans="1:23" x14ac:dyDescent="0.25">
      <c r="A4" s="3">
        <v>1</v>
      </c>
      <c r="C4">
        <v>15404660</v>
      </c>
      <c r="D4">
        <v>15404670</v>
      </c>
      <c r="E4">
        <v>15404662</v>
      </c>
      <c r="F4">
        <v>15404669</v>
      </c>
      <c r="G4">
        <v>15404661</v>
      </c>
      <c r="H4">
        <v>15404669</v>
      </c>
      <c r="I4">
        <v>15404661</v>
      </c>
      <c r="J4">
        <v>15404671</v>
      </c>
      <c r="K4">
        <v>15404663</v>
      </c>
      <c r="M4" s="3">
        <v>5</v>
      </c>
      <c r="O4">
        <f>G8</f>
        <v>15404657</v>
      </c>
      <c r="P4">
        <f>G5</f>
        <v>15404667</v>
      </c>
      <c r="Q4">
        <f>G6</f>
        <v>15404659</v>
      </c>
      <c r="R4">
        <f>J8</f>
        <v>15404667</v>
      </c>
      <c r="S4">
        <f>K8</f>
        <v>15404659</v>
      </c>
      <c r="T4">
        <f>G3</f>
        <v>15404669</v>
      </c>
      <c r="U4">
        <f>G4</f>
        <v>15404661</v>
      </c>
      <c r="V4">
        <f>H8</f>
        <v>15404669</v>
      </c>
      <c r="W4">
        <f>I8</f>
        <v>15404661</v>
      </c>
    </row>
    <row r="5" spans="1:23" x14ac:dyDescent="0.25">
      <c r="A5" s="3">
        <v>2</v>
      </c>
      <c r="D5">
        <v>15404666</v>
      </c>
      <c r="E5">
        <v>15404666</v>
      </c>
      <c r="F5">
        <v>15404667</v>
      </c>
      <c r="G5">
        <v>15404667</v>
      </c>
      <c r="H5">
        <v>15404671</v>
      </c>
      <c r="I5">
        <v>15404671</v>
      </c>
      <c r="J5">
        <v>15404667</v>
      </c>
      <c r="K5">
        <v>15404667</v>
      </c>
      <c r="M5" s="3">
        <v>2</v>
      </c>
      <c r="P5">
        <f>D5</f>
        <v>15404666</v>
      </c>
      <c r="Q5">
        <f>E5</f>
        <v>15404666</v>
      </c>
      <c r="R5">
        <f>J5</f>
        <v>15404667</v>
      </c>
      <c r="S5">
        <f>K5</f>
        <v>15404667</v>
      </c>
      <c r="T5">
        <f>D3</f>
        <v>15404670</v>
      </c>
      <c r="U5">
        <f>D4</f>
        <v>15404670</v>
      </c>
      <c r="V5">
        <f>H5</f>
        <v>15404671</v>
      </c>
      <c r="W5">
        <f>I5</f>
        <v>15404671</v>
      </c>
    </row>
    <row r="6" spans="1:23" x14ac:dyDescent="0.25">
      <c r="A6" s="3">
        <v>3</v>
      </c>
      <c r="E6">
        <v>15404658</v>
      </c>
      <c r="F6">
        <v>15404667</v>
      </c>
      <c r="G6">
        <v>15404659</v>
      </c>
      <c r="H6">
        <v>15404671</v>
      </c>
      <c r="I6">
        <v>15404663</v>
      </c>
      <c r="J6">
        <v>15404667</v>
      </c>
      <c r="K6">
        <v>15404659</v>
      </c>
      <c r="M6" s="3">
        <v>3</v>
      </c>
      <c r="Q6">
        <f>E6</f>
        <v>15404658</v>
      </c>
      <c r="R6">
        <f>J6</f>
        <v>15404667</v>
      </c>
      <c r="S6">
        <f>K6</f>
        <v>15404659</v>
      </c>
      <c r="T6">
        <f>E3</f>
        <v>15404670</v>
      </c>
      <c r="U6">
        <f>E4</f>
        <v>15404662</v>
      </c>
      <c r="V6">
        <f>H6</f>
        <v>15404671</v>
      </c>
      <c r="W6">
        <f>I6</f>
        <v>15404663</v>
      </c>
    </row>
    <row r="7" spans="1:23" x14ac:dyDescent="0.25">
      <c r="A7" s="3">
        <v>4</v>
      </c>
      <c r="F7">
        <v>15404665</v>
      </c>
      <c r="G7">
        <v>15404665</v>
      </c>
      <c r="H7">
        <v>15404669</v>
      </c>
      <c r="I7">
        <v>15404669</v>
      </c>
      <c r="J7">
        <v>15404667</v>
      </c>
      <c r="K7">
        <v>15404667</v>
      </c>
      <c r="M7" s="3">
        <v>8</v>
      </c>
      <c r="R7">
        <f>J11</f>
        <v>15404667</v>
      </c>
      <c r="S7">
        <f>K11</f>
        <v>15404667</v>
      </c>
      <c r="T7">
        <f>J3</f>
        <v>15404671</v>
      </c>
      <c r="U7">
        <f>J4</f>
        <v>15404671</v>
      </c>
      <c r="V7">
        <f>J9</f>
        <v>15404671</v>
      </c>
      <c r="W7">
        <f>J10</f>
        <v>15404671</v>
      </c>
    </row>
    <row r="8" spans="1:23" x14ac:dyDescent="0.25">
      <c r="A8" s="3">
        <v>5</v>
      </c>
      <c r="G8">
        <v>15404657</v>
      </c>
      <c r="H8">
        <v>15404669</v>
      </c>
      <c r="I8">
        <v>15404661</v>
      </c>
      <c r="J8">
        <v>15404667</v>
      </c>
      <c r="K8">
        <v>15404659</v>
      </c>
      <c r="M8" s="3">
        <v>9</v>
      </c>
      <c r="S8">
        <f>K12</f>
        <v>15404659</v>
      </c>
      <c r="T8">
        <f>K3</f>
        <v>15404671</v>
      </c>
      <c r="U8">
        <f>K4</f>
        <v>15404663</v>
      </c>
      <c r="V8">
        <f>K9</f>
        <v>15404671</v>
      </c>
      <c r="W8">
        <f>K10</f>
        <v>15404663</v>
      </c>
    </row>
    <row r="9" spans="1:23" x14ac:dyDescent="0.25">
      <c r="A9" s="3">
        <v>6</v>
      </c>
      <c r="H9">
        <v>15404669</v>
      </c>
      <c r="I9">
        <v>15404669</v>
      </c>
      <c r="J9">
        <v>15404671</v>
      </c>
      <c r="K9">
        <v>15404671</v>
      </c>
      <c r="M9" s="3">
        <v>0</v>
      </c>
      <c r="T9">
        <f>B3</f>
        <v>15404668</v>
      </c>
      <c r="U9">
        <f>C3</f>
        <v>15404668</v>
      </c>
      <c r="V9">
        <f>H3</f>
        <v>15404669</v>
      </c>
      <c r="W9">
        <f>I3</f>
        <v>15404669</v>
      </c>
    </row>
    <row r="10" spans="1:23" x14ac:dyDescent="0.25">
      <c r="A10" s="3">
        <v>7</v>
      </c>
      <c r="I10">
        <v>15404661</v>
      </c>
      <c r="J10">
        <v>15404671</v>
      </c>
      <c r="K10">
        <v>15404663</v>
      </c>
      <c r="M10" s="3">
        <v>1</v>
      </c>
      <c r="U10">
        <f>C4</f>
        <v>15404660</v>
      </c>
      <c r="V10">
        <f>H4</f>
        <v>15404669</v>
      </c>
      <c r="W10">
        <f>I4</f>
        <v>15404661</v>
      </c>
    </row>
    <row r="11" spans="1:23" x14ac:dyDescent="0.25">
      <c r="A11" s="3">
        <v>8</v>
      </c>
      <c r="J11">
        <v>15404667</v>
      </c>
      <c r="K11">
        <v>15404667</v>
      </c>
      <c r="M11" s="3">
        <v>6</v>
      </c>
      <c r="V11">
        <f>H9</f>
        <v>15404669</v>
      </c>
      <c r="W11">
        <f>I9</f>
        <v>15404669</v>
      </c>
    </row>
    <row r="12" spans="1:23" x14ac:dyDescent="0.25">
      <c r="A12" s="3">
        <v>9</v>
      </c>
      <c r="K12">
        <v>15404659</v>
      </c>
      <c r="M12" s="3">
        <v>7</v>
      </c>
      <c r="W12">
        <f>I10</f>
        <v>15404661</v>
      </c>
    </row>
    <row r="14" spans="1:23" x14ac:dyDescent="0.25">
      <c r="B14">
        <v>15404656</v>
      </c>
    </row>
    <row r="15" spans="1:23" x14ac:dyDescent="0.25">
      <c r="B15">
        <f>IF(B3="","",B3-$B$14)</f>
        <v>12</v>
      </c>
      <c r="C15">
        <f t="shared" ref="C15:K15" si="0">IF(C3="","",C3-$B$14)</f>
        <v>12</v>
      </c>
      <c r="D15">
        <f t="shared" si="0"/>
        <v>14</v>
      </c>
      <c r="E15">
        <f t="shared" si="0"/>
        <v>14</v>
      </c>
      <c r="F15">
        <f t="shared" si="0"/>
        <v>13</v>
      </c>
      <c r="G15">
        <f t="shared" si="0"/>
        <v>13</v>
      </c>
      <c r="H15">
        <f t="shared" si="0"/>
        <v>13</v>
      </c>
      <c r="I15">
        <f t="shared" si="0"/>
        <v>13</v>
      </c>
      <c r="J15">
        <f t="shared" si="0"/>
        <v>15</v>
      </c>
      <c r="K15">
        <f t="shared" si="0"/>
        <v>15</v>
      </c>
      <c r="N15">
        <f>IF(N3="","",N3-$B$14)</f>
        <v>9</v>
      </c>
      <c r="O15">
        <f t="shared" ref="O15:W15" si="1">IF(O3="","",O3-$B$14)</f>
        <v>9</v>
      </c>
      <c r="P15">
        <f t="shared" si="1"/>
        <v>11</v>
      </c>
      <c r="Q15">
        <f t="shared" si="1"/>
        <v>11</v>
      </c>
      <c r="R15">
        <f t="shared" si="1"/>
        <v>11</v>
      </c>
      <c r="S15">
        <f t="shared" si="1"/>
        <v>11</v>
      </c>
      <c r="T15">
        <f t="shared" si="1"/>
        <v>13</v>
      </c>
      <c r="U15">
        <f t="shared" si="1"/>
        <v>13</v>
      </c>
      <c r="V15">
        <f t="shared" si="1"/>
        <v>13</v>
      </c>
      <c r="W15">
        <f t="shared" si="1"/>
        <v>13</v>
      </c>
    </row>
    <row r="16" spans="1:23" x14ac:dyDescent="0.25">
      <c r="B16" t="str">
        <f t="shared" ref="B16:K16" si="2">IF(B4="","",B4-$B$14)</f>
        <v/>
      </c>
      <c r="C16">
        <f t="shared" si="2"/>
        <v>4</v>
      </c>
      <c r="D16">
        <f t="shared" si="2"/>
        <v>14</v>
      </c>
      <c r="E16">
        <f t="shared" si="2"/>
        <v>6</v>
      </c>
      <c r="F16">
        <f t="shared" si="2"/>
        <v>13</v>
      </c>
      <c r="G16">
        <f t="shared" si="2"/>
        <v>5</v>
      </c>
      <c r="H16">
        <f t="shared" si="2"/>
        <v>13</v>
      </c>
      <c r="I16">
        <f t="shared" si="2"/>
        <v>5</v>
      </c>
      <c r="J16">
        <f t="shared" si="2"/>
        <v>15</v>
      </c>
      <c r="K16">
        <f t="shared" si="2"/>
        <v>7</v>
      </c>
      <c r="N16" t="str">
        <f t="shared" ref="N16:W16" si="3">IF(N4="","",N4-$B$14)</f>
        <v/>
      </c>
      <c r="O16">
        <f t="shared" si="3"/>
        <v>1</v>
      </c>
      <c r="P16">
        <f t="shared" si="3"/>
        <v>11</v>
      </c>
      <c r="Q16">
        <f t="shared" si="3"/>
        <v>3</v>
      </c>
      <c r="R16">
        <f t="shared" si="3"/>
        <v>11</v>
      </c>
      <c r="S16">
        <f t="shared" si="3"/>
        <v>3</v>
      </c>
      <c r="T16">
        <f t="shared" si="3"/>
        <v>13</v>
      </c>
      <c r="U16">
        <f t="shared" si="3"/>
        <v>5</v>
      </c>
      <c r="V16">
        <f t="shared" si="3"/>
        <v>13</v>
      </c>
      <c r="W16">
        <f t="shared" si="3"/>
        <v>5</v>
      </c>
    </row>
    <row r="17" spans="2:23" x14ac:dyDescent="0.25">
      <c r="B17" t="str">
        <f t="shared" ref="B17:K17" si="4">IF(B5="","",B5-$B$14)</f>
        <v/>
      </c>
      <c r="C17" t="str">
        <f t="shared" si="4"/>
        <v/>
      </c>
      <c r="D17">
        <f t="shared" si="4"/>
        <v>10</v>
      </c>
      <c r="E17">
        <f t="shared" si="4"/>
        <v>10</v>
      </c>
      <c r="F17">
        <f t="shared" si="4"/>
        <v>11</v>
      </c>
      <c r="G17">
        <f t="shared" si="4"/>
        <v>11</v>
      </c>
      <c r="H17">
        <f t="shared" si="4"/>
        <v>15</v>
      </c>
      <c r="I17">
        <f t="shared" si="4"/>
        <v>15</v>
      </c>
      <c r="J17">
        <f t="shared" si="4"/>
        <v>11</v>
      </c>
      <c r="K17">
        <f t="shared" si="4"/>
        <v>11</v>
      </c>
      <c r="N17" t="str">
        <f t="shared" ref="N17:W17" si="5">IF(N5="","",N5-$B$14)</f>
        <v/>
      </c>
      <c r="O17" t="str">
        <f t="shared" si="5"/>
        <v/>
      </c>
      <c r="P17">
        <f t="shared" si="5"/>
        <v>10</v>
      </c>
      <c r="Q17">
        <f t="shared" si="5"/>
        <v>10</v>
      </c>
      <c r="R17">
        <f t="shared" si="5"/>
        <v>11</v>
      </c>
      <c r="S17">
        <f t="shared" si="5"/>
        <v>11</v>
      </c>
      <c r="T17">
        <f t="shared" si="5"/>
        <v>14</v>
      </c>
      <c r="U17">
        <f t="shared" si="5"/>
        <v>14</v>
      </c>
      <c r="V17">
        <f t="shared" si="5"/>
        <v>15</v>
      </c>
      <c r="W17">
        <f t="shared" si="5"/>
        <v>15</v>
      </c>
    </row>
    <row r="18" spans="2:23" x14ac:dyDescent="0.25">
      <c r="B18" t="str">
        <f t="shared" ref="B18:K18" si="6">IF(B6="","",B6-$B$14)</f>
        <v/>
      </c>
      <c r="C18" t="str">
        <f t="shared" si="6"/>
        <v/>
      </c>
      <c r="D18" t="str">
        <f t="shared" si="6"/>
        <v/>
      </c>
      <c r="E18">
        <f t="shared" si="6"/>
        <v>2</v>
      </c>
      <c r="F18">
        <f t="shared" si="6"/>
        <v>11</v>
      </c>
      <c r="G18">
        <f t="shared" si="6"/>
        <v>3</v>
      </c>
      <c r="H18">
        <f t="shared" si="6"/>
        <v>15</v>
      </c>
      <c r="I18">
        <f t="shared" si="6"/>
        <v>7</v>
      </c>
      <c r="J18">
        <f t="shared" si="6"/>
        <v>11</v>
      </c>
      <c r="K18">
        <f t="shared" si="6"/>
        <v>3</v>
      </c>
      <c r="N18" t="str">
        <f t="shared" ref="N18:W18" si="7">IF(N6="","",N6-$B$14)</f>
        <v/>
      </c>
      <c r="O18" t="str">
        <f t="shared" si="7"/>
        <v/>
      </c>
      <c r="P18" t="str">
        <f t="shared" si="7"/>
        <v/>
      </c>
      <c r="Q18">
        <f t="shared" si="7"/>
        <v>2</v>
      </c>
      <c r="R18">
        <f t="shared" si="7"/>
        <v>11</v>
      </c>
      <c r="S18">
        <f t="shared" si="7"/>
        <v>3</v>
      </c>
      <c r="T18">
        <f t="shared" si="7"/>
        <v>14</v>
      </c>
      <c r="U18">
        <f t="shared" si="7"/>
        <v>6</v>
      </c>
      <c r="V18">
        <f t="shared" si="7"/>
        <v>15</v>
      </c>
      <c r="W18">
        <f t="shared" si="7"/>
        <v>7</v>
      </c>
    </row>
    <row r="19" spans="2:23" x14ac:dyDescent="0.25">
      <c r="B19" t="str">
        <f t="shared" ref="B19:K19" si="8">IF(B7="","",B7-$B$14)</f>
        <v/>
      </c>
      <c r="C19" t="str">
        <f t="shared" si="8"/>
        <v/>
      </c>
      <c r="D19" t="str">
        <f t="shared" si="8"/>
        <v/>
      </c>
      <c r="E19" t="str">
        <f t="shared" si="8"/>
        <v/>
      </c>
      <c r="F19">
        <f t="shared" si="8"/>
        <v>9</v>
      </c>
      <c r="G19">
        <f t="shared" si="8"/>
        <v>9</v>
      </c>
      <c r="H19">
        <f t="shared" si="8"/>
        <v>13</v>
      </c>
      <c r="I19">
        <f t="shared" si="8"/>
        <v>13</v>
      </c>
      <c r="J19">
        <f t="shared" si="8"/>
        <v>11</v>
      </c>
      <c r="K19">
        <f t="shared" si="8"/>
        <v>11</v>
      </c>
      <c r="N19" t="str">
        <f t="shared" ref="N19:W19" si="9">IF(N7="","",N7-$B$14)</f>
        <v/>
      </c>
      <c r="O19" t="str">
        <f t="shared" si="9"/>
        <v/>
      </c>
      <c r="P19" t="str">
        <f t="shared" si="9"/>
        <v/>
      </c>
      <c r="Q19" t="str">
        <f t="shared" si="9"/>
        <v/>
      </c>
      <c r="R19">
        <f t="shared" si="9"/>
        <v>11</v>
      </c>
      <c r="S19">
        <f t="shared" si="9"/>
        <v>11</v>
      </c>
      <c r="T19">
        <f t="shared" si="9"/>
        <v>15</v>
      </c>
      <c r="U19">
        <f t="shared" si="9"/>
        <v>15</v>
      </c>
      <c r="V19">
        <f t="shared" si="9"/>
        <v>15</v>
      </c>
      <c r="W19">
        <f t="shared" si="9"/>
        <v>15</v>
      </c>
    </row>
    <row r="20" spans="2:23" x14ac:dyDescent="0.25">
      <c r="B20" t="str">
        <f t="shared" ref="B20:K20" si="10">IF(B8="","",B8-$B$14)</f>
        <v/>
      </c>
      <c r="C20" t="str">
        <f t="shared" si="10"/>
        <v/>
      </c>
      <c r="D20" t="str">
        <f t="shared" si="10"/>
        <v/>
      </c>
      <c r="E20" t="str">
        <f t="shared" si="10"/>
        <v/>
      </c>
      <c r="F20" t="str">
        <f t="shared" si="10"/>
        <v/>
      </c>
      <c r="G20">
        <f t="shared" si="10"/>
        <v>1</v>
      </c>
      <c r="H20">
        <f t="shared" si="10"/>
        <v>13</v>
      </c>
      <c r="I20">
        <f t="shared" si="10"/>
        <v>5</v>
      </c>
      <c r="J20">
        <f t="shared" si="10"/>
        <v>11</v>
      </c>
      <c r="K20">
        <f t="shared" si="10"/>
        <v>3</v>
      </c>
      <c r="N20" t="str">
        <f t="shared" ref="N20:W20" si="11">IF(N8="","",N8-$B$14)</f>
        <v/>
      </c>
      <c r="O20" t="str">
        <f t="shared" si="11"/>
        <v/>
      </c>
      <c r="P20" t="str">
        <f t="shared" si="11"/>
        <v/>
      </c>
      <c r="Q20" t="str">
        <f t="shared" si="11"/>
        <v/>
      </c>
      <c r="R20" t="str">
        <f t="shared" si="11"/>
        <v/>
      </c>
      <c r="S20">
        <f t="shared" si="11"/>
        <v>3</v>
      </c>
      <c r="T20">
        <f t="shared" si="11"/>
        <v>15</v>
      </c>
      <c r="U20">
        <f t="shared" si="11"/>
        <v>7</v>
      </c>
      <c r="V20">
        <f t="shared" si="11"/>
        <v>15</v>
      </c>
      <c r="W20">
        <f t="shared" si="11"/>
        <v>7</v>
      </c>
    </row>
    <row r="21" spans="2:23" x14ac:dyDescent="0.25">
      <c r="B21" t="str">
        <f t="shared" ref="B21:K21" si="12">IF(B9="","",B9-$B$14)</f>
        <v/>
      </c>
      <c r="C21" t="str">
        <f t="shared" si="12"/>
        <v/>
      </c>
      <c r="D21" t="str">
        <f t="shared" si="12"/>
        <v/>
      </c>
      <c r="E21" t="str">
        <f t="shared" si="12"/>
        <v/>
      </c>
      <c r="F21" t="str">
        <f t="shared" si="12"/>
        <v/>
      </c>
      <c r="G21" t="str">
        <f t="shared" si="12"/>
        <v/>
      </c>
      <c r="H21">
        <f t="shared" si="12"/>
        <v>13</v>
      </c>
      <c r="I21">
        <f t="shared" si="12"/>
        <v>13</v>
      </c>
      <c r="J21">
        <f t="shared" si="12"/>
        <v>15</v>
      </c>
      <c r="K21">
        <f t="shared" si="12"/>
        <v>15</v>
      </c>
      <c r="N21" t="str">
        <f t="shared" ref="N21:W21" si="13">IF(N9="","",N9-$B$14)</f>
        <v/>
      </c>
      <c r="O21" t="str">
        <f t="shared" si="13"/>
        <v/>
      </c>
      <c r="P21" t="str">
        <f t="shared" si="13"/>
        <v/>
      </c>
      <c r="Q21" t="str">
        <f t="shared" si="13"/>
        <v/>
      </c>
      <c r="R21" t="str">
        <f t="shared" si="13"/>
        <v/>
      </c>
      <c r="S21" t="str">
        <f t="shared" si="13"/>
        <v/>
      </c>
      <c r="T21">
        <f t="shared" si="13"/>
        <v>12</v>
      </c>
      <c r="U21">
        <f t="shared" si="13"/>
        <v>12</v>
      </c>
      <c r="V21">
        <f t="shared" si="13"/>
        <v>13</v>
      </c>
      <c r="W21">
        <f t="shared" si="13"/>
        <v>13</v>
      </c>
    </row>
    <row r="22" spans="2:23" x14ac:dyDescent="0.25">
      <c r="B22" t="str">
        <f t="shared" ref="B22:K22" si="14">IF(B10="","",B10-$B$14)</f>
        <v/>
      </c>
      <c r="C22" t="str">
        <f t="shared" si="14"/>
        <v/>
      </c>
      <c r="D22" t="str">
        <f t="shared" si="14"/>
        <v/>
      </c>
      <c r="E22" t="str">
        <f t="shared" si="14"/>
        <v/>
      </c>
      <c r="F22" t="str">
        <f t="shared" si="14"/>
        <v/>
      </c>
      <c r="G22" t="str">
        <f t="shared" si="14"/>
        <v/>
      </c>
      <c r="H22" t="str">
        <f t="shared" si="14"/>
        <v/>
      </c>
      <c r="I22">
        <f t="shared" si="14"/>
        <v>5</v>
      </c>
      <c r="J22">
        <f t="shared" si="14"/>
        <v>15</v>
      </c>
      <c r="K22">
        <f t="shared" si="14"/>
        <v>7</v>
      </c>
      <c r="N22" t="str">
        <f t="shared" ref="N22:W22" si="15">IF(N10="","",N10-$B$14)</f>
        <v/>
      </c>
      <c r="O22" t="str">
        <f t="shared" si="15"/>
        <v/>
      </c>
      <c r="P22" t="str">
        <f t="shared" si="15"/>
        <v/>
      </c>
      <c r="Q22" t="str">
        <f t="shared" si="15"/>
        <v/>
      </c>
      <c r="R22" t="str">
        <f t="shared" si="15"/>
        <v/>
      </c>
      <c r="S22" t="str">
        <f t="shared" si="15"/>
        <v/>
      </c>
      <c r="T22" t="str">
        <f t="shared" si="15"/>
        <v/>
      </c>
      <c r="U22">
        <f t="shared" si="15"/>
        <v>4</v>
      </c>
      <c r="V22">
        <f t="shared" si="15"/>
        <v>13</v>
      </c>
      <c r="W22">
        <f t="shared" si="15"/>
        <v>5</v>
      </c>
    </row>
    <row r="23" spans="2:23" x14ac:dyDescent="0.25">
      <c r="B23" t="str">
        <f t="shared" ref="B23:K23" si="16">IF(B11="","",B11-$B$14)</f>
        <v/>
      </c>
      <c r="C23" t="str">
        <f t="shared" si="16"/>
        <v/>
      </c>
      <c r="D23" t="str">
        <f t="shared" si="16"/>
        <v/>
      </c>
      <c r="E23" t="str">
        <f t="shared" si="16"/>
        <v/>
      </c>
      <c r="F23" t="str">
        <f t="shared" si="16"/>
        <v/>
      </c>
      <c r="G23" t="str">
        <f t="shared" si="16"/>
        <v/>
      </c>
      <c r="H23" t="str">
        <f t="shared" si="16"/>
        <v/>
      </c>
      <c r="I23" t="str">
        <f t="shared" si="16"/>
        <v/>
      </c>
      <c r="J23">
        <f t="shared" si="16"/>
        <v>11</v>
      </c>
      <c r="K23">
        <f t="shared" si="16"/>
        <v>11</v>
      </c>
      <c r="N23" t="str">
        <f t="shared" ref="N23:W23" si="17">IF(N11="","",N11-$B$14)</f>
        <v/>
      </c>
      <c r="O23" t="str">
        <f t="shared" si="17"/>
        <v/>
      </c>
      <c r="P23" t="str">
        <f t="shared" si="17"/>
        <v/>
      </c>
      <c r="Q23" t="str">
        <f t="shared" si="17"/>
        <v/>
      </c>
      <c r="R23" t="str">
        <f t="shared" si="17"/>
        <v/>
      </c>
      <c r="S23" t="str">
        <f t="shared" si="17"/>
        <v/>
      </c>
      <c r="T23" t="str">
        <f t="shared" si="17"/>
        <v/>
      </c>
      <c r="U23" t="str">
        <f t="shared" si="17"/>
        <v/>
      </c>
      <c r="V23">
        <f t="shared" si="17"/>
        <v>13</v>
      </c>
      <c r="W23">
        <f t="shared" si="17"/>
        <v>13</v>
      </c>
    </row>
    <row r="24" spans="2:23" x14ac:dyDescent="0.25">
      <c r="B24" t="str">
        <f t="shared" ref="B24:K24" si="18">IF(B12="","",B12-$B$14)</f>
        <v/>
      </c>
      <c r="C24" t="str">
        <f t="shared" si="18"/>
        <v/>
      </c>
      <c r="D24" t="str">
        <f t="shared" si="18"/>
        <v/>
      </c>
      <c r="E24" t="str">
        <f t="shared" si="18"/>
        <v/>
      </c>
      <c r="F24" t="str">
        <f t="shared" si="18"/>
        <v/>
      </c>
      <c r="G24" t="str">
        <f t="shared" si="18"/>
        <v/>
      </c>
      <c r="H24" t="str">
        <f t="shared" si="18"/>
        <v/>
      </c>
      <c r="I24" t="str">
        <f t="shared" si="18"/>
        <v/>
      </c>
      <c r="J24" t="str">
        <f t="shared" si="18"/>
        <v/>
      </c>
      <c r="K24">
        <f t="shared" si="18"/>
        <v>3</v>
      </c>
      <c r="N24" t="str">
        <f t="shared" ref="N24:W24" si="19">IF(N12="","",N12-$B$14)</f>
        <v/>
      </c>
      <c r="O24" t="str">
        <f t="shared" si="19"/>
        <v/>
      </c>
      <c r="P24" t="str">
        <f t="shared" si="19"/>
        <v/>
      </c>
      <c r="Q24" t="str">
        <f t="shared" si="19"/>
        <v/>
      </c>
      <c r="R24" t="str">
        <f t="shared" si="19"/>
        <v/>
      </c>
      <c r="S24" t="str">
        <f t="shared" si="19"/>
        <v/>
      </c>
      <c r="T24" t="str">
        <f t="shared" si="19"/>
        <v/>
      </c>
      <c r="U24" t="str">
        <f t="shared" si="19"/>
        <v/>
      </c>
      <c r="V24" t="str">
        <f t="shared" si="19"/>
        <v/>
      </c>
      <c r="W24">
        <f t="shared" si="19"/>
        <v>5</v>
      </c>
    </row>
  </sheetData>
  <conditionalFormatting sqref="B3:K1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W2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W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</vt:lpstr>
      <vt:lpstr>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French</dc:creator>
  <cp:lastModifiedBy>Felix French</cp:lastModifiedBy>
  <dcterms:created xsi:type="dcterms:W3CDTF">2024-09-22T10:15:29Z</dcterms:created>
  <dcterms:modified xsi:type="dcterms:W3CDTF">2024-12-21T21:36:10Z</dcterms:modified>
</cp:coreProperties>
</file>