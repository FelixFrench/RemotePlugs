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8bf48a7331aef/Documents/Arduino/RemotePlugs/"/>
    </mc:Choice>
  </mc:AlternateContent>
  <xr:revisionPtr revIDLastSave="28" documentId="8_{90FE65FA-2C5E-4089-9F54-384E64CC8782}" xr6:coauthVersionLast="47" xr6:coauthVersionMax="47" xr10:uidLastSave="{9A7BB062-9D1D-4F08-B802-659C0D69EBF0}"/>
  <bookViews>
    <workbookView xWindow="28680" yWindow="0" windowWidth="29040" windowHeight="17520" xr2:uid="{1CFF0E8F-40E1-4B34-881B-DC122C3AA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" l="1"/>
  <c r="AD11" i="1" s="1"/>
  <c r="M4" i="1"/>
  <c r="W4" i="1" s="1"/>
  <c r="N4" i="1"/>
  <c r="X4" i="1" s="1"/>
  <c r="N5" i="1"/>
  <c r="X5" i="1" s="1"/>
  <c r="O4" i="1"/>
  <c r="Y4" i="1" s="1"/>
  <c r="O5" i="1"/>
  <c r="Y5" i="1" s="1"/>
  <c r="O6" i="1"/>
  <c r="Y6" i="1" s="1"/>
  <c r="P4" i="1"/>
  <c r="Z4" i="1" s="1"/>
  <c r="P5" i="1"/>
  <c r="Z5" i="1" s="1"/>
  <c r="P6" i="1"/>
  <c r="Z6" i="1" s="1"/>
  <c r="P7" i="1"/>
  <c r="Z7" i="1" s="1"/>
  <c r="Q4" i="1"/>
  <c r="AA4" i="1" s="1"/>
  <c r="Q5" i="1"/>
  <c r="AA5" i="1" s="1"/>
  <c r="Q6" i="1"/>
  <c r="AA6" i="1" s="1"/>
  <c r="Q7" i="1"/>
  <c r="AA7" i="1" s="1"/>
  <c r="Q8" i="1"/>
  <c r="AA8" i="1" s="1"/>
  <c r="R4" i="1"/>
  <c r="AB4" i="1" s="1"/>
  <c r="R5" i="1"/>
  <c r="AB5" i="1" s="1"/>
  <c r="R6" i="1"/>
  <c r="AB6" i="1" s="1"/>
  <c r="R7" i="1"/>
  <c r="AB7" i="1" s="1"/>
  <c r="R8" i="1"/>
  <c r="AB8" i="1" s="1"/>
  <c r="R9" i="1"/>
  <c r="AB9" i="1" s="1"/>
  <c r="S10" i="1"/>
  <c r="S4" i="1"/>
  <c r="AC4" i="1" s="1"/>
  <c r="S5" i="1"/>
  <c r="AC5" i="1" s="1"/>
  <c r="S6" i="1"/>
  <c r="AC6" i="1" s="1"/>
  <c r="S7" i="1"/>
  <c r="AC7" i="1" s="1"/>
  <c r="S8" i="1"/>
  <c r="AC8" i="1" s="1"/>
  <c r="S9" i="1"/>
  <c r="AC9" i="1" s="1"/>
  <c r="T4" i="1"/>
  <c r="AD4" i="1" s="1"/>
  <c r="T5" i="1"/>
  <c r="AD5" i="1" s="1"/>
  <c r="T6" i="1"/>
  <c r="AD6" i="1" s="1"/>
  <c r="T7" i="1"/>
  <c r="AD7" i="1" s="1"/>
  <c r="T8" i="1"/>
  <c r="AD8" i="1" s="1"/>
  <c r="T9" i="1"/>
  <c r="AD9" i="1" s="1"/>
  <c r="T10" i="1"/>
  <c r="AD10" i="1" s="1"/>
  <c r="U4" i="1"/>
  <c r="AE4" i="1" s="1"/>
  <c r="U5" i="1"/>
  <c r="AE5" i="1" s="1"/>
  <c r="U6" i="1"/>
  <c r="AE6" i="1" s="1"/>
  <c r="U7" i="1"/>
  <c r="AE7" i="1" s="1"/>
  <c r="U8" i="1"/>
  <c r="AE8" i="1" s="1"/>
  <c r="U9" i="1"/>
  <c r="AE9" i="1" s="1"/>
  <c r="U10" i="1"/>
  <c r="AE10" i="1" s="1"/>
  <c r="U11" i="1"/>
  <c r="AE11" i="1" s="1"/>
  <c r="U12" i="1"/>
  <c r="AE12" i="1" s="1"/>
  <c r="M3" i="1"/>
  <c r="W3" i="1" s="1"/>
  <c r="N3" i="1"/>
  <c r="X3" i="1" s="1"/>
  <c r="O3" i="1"/>
  <c r="Y3" i="1" s="1"/>
  <c r="P3" i="1"/>
  <c r="Z3" i="1" s="1"/>
  <c r="Q3" i="1"/>
  <c r="AA3" i="1" s="1"/>
  <c r="R3" i="1"/>
  <c r="AB3" i="1" s="1"/>
  <c r="S3" i="1"/>
  <c r="AC3" i="1" s="1"/>
  <c r="T3" i="1"/>
  <c r="AD3" i="1" s="1"/>
  <c r="U3" i="1"/>
  <c r="AE3" i="1" s="1"/>
  <c r="L3" i="1"/>
  <c r="V3" i="1" s="1"/>
  <c r="AC10" i="1"/>
</calcChain>
</file>

<file path=xl/sharedStrings.xml><?xml version="1.0" encoding="utf-8"?>
<sst xmlns="http://schemas.openxmlformats.org/spreadsheetml/2006/main" count="4" uniqueCount="4">
  <si>
    <t>None</t>
  </si>
  <si>
    <t>OFFSET</t>
  </si>
  <si>
    <t>LOG2</t>
  </si>
  <si>
    <t>Number are added together, unless they're in the same row, in which case it’s both = off + 3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</si>
</sst>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Border="1"/>
    <xf numFmtId="0" fontId="1" fillId="0" borderId="0" xfId="0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27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801281195782729E-2"/>
          <c:y val="1.8697047651523836E-2"/>
          <c:w val="0.92849530673072644"/>
          <c:h val="0.86679899367189583"/>
        </c:manualLayout>
      </c:layout>
      <c:surface3DChart>
        <c:wireframe val="0"/>
        <c:ser>
          <c:idx val="11"/>
          <c:order val="0"/>
          <c:tx>
            <c:strRef>
              <c:f>Sheet1!$L$2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Sheet1!$L$3:$L$12</c:f>
              <c:numCache>
                <c:formatCode>General</c:formatCode>
                <c:ptCount val="10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772-45C1-8514-61934764EF5F}"/>
            </c:ext>
          </c:extLst>
        </c:ser>
        <c:ser>
          <c:idx val="12"/>
          <c:order val="1"/>
          <c:tx>
            <c:strRef>
              <c:f>Sheet1!$M$2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Sheet1!$M$3:$M$12</c:f>
              <c:numCache>
                <c:formatCode>General</c:formatCode>
                <c:ptCount val="10"/>
                <c:pt idx="0">
                  <c:v>57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772-45C1-8514-61934764EF5F}"/>
            </c:ext>
          </c:extLst>
        </c:ser>
        <c:ser>
          <c:idx val="13"/>
          <c:order val="2"/>
          <c:tx>
            <c:strRef>
              <c:f>Sheet1!$N$2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Sheet1!$N$3:$N$12</c:f>
              <c:numCache>
                <c:formatCode>General</c:formatCode>
                <c:ptCount val="10"/>
                <c:pt idx="0">
                  <c:v>192</c:v>
                </c:pt>
                <c:pt idx="1">
                  <c:v>240</c:v>
                </c:pt>
                <c:pt idx="2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772-45C1-8514-61934764EF5F}"/>
            </c:ext>
          </c:extLst>
        </c:ser>
        <c:ser>
          <c:idx val="14"/>
          <c:order val="3"/>
          <c:tx>
            <c:strRef>
              <c:f>Sheet1!$O$2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Sheet1!$O$3:$O$12</c:f>
              <c:numCache>
                <c:formatCode>General</c:formatCode>
                <c:ptCount val="10"/>
                <c:pt idx="0">
                  <c:v>201</c:v>
                </c:pt>
                <c:pt idx="1">
                  <c:v>252</c:v>
                </c:pt>
                <c:pt idx="2">
                  <c:v>249</c:v>
                </c:pt>
                <c:pt idx="3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72-45C1-8514-61934764EF5F}"/>
            </c:ext>
          </c:extLst>
        </c:ser>
        <c:ser>
          <c:idx val="15"/>
          <c:order val="4"/>
          <c:tx>
            <c:strRef>
              <c:f>Sheet1!$P$2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Sheet1!$P$3:$P$12</c:f>
              <c:numCache>
                <c:formatCode>General</c:formatCode>
                <c:ptCount val="10"/>
                <c:pt idx="0">
                  <c:v>512</c:v>
                </c:pt>
                <c:pt idx="1">
                  <c:v>560</c:v>
                </c:pt>
                <c:pt idx="2">
                  <c:v>572</c:v>
                </c:pt>
                <c:pt idx="3">
                  <c:v>704</c:v>
                </c:pt>
                <c:pt idx="4">
                  <c:v>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772-45C1-8514-61934764EF5F}"/>
            </c:ext>
          </c:extLst>
        </c:ser>
        <c:ser>
          <c:idx val="16"/>
          <c:order val="5"/>
          <c:tx>
            <c:strRef>
              <c:f>Sheet1!$Q$2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Sheet1!$Q$3:$Q$12</c:f>
              <c:numCache>
                <c:formatCode>General</c:formatCode>
                <c:ptCount val="10"/>
                <c:pt idx="0">
                  <c:v>521</c:v>
                </c:pt>
                <c:pt idx="1">
                  <c:v>572</c:v>
                </c:pt>
                <c:pt idx="2">
                  <c:v>569</c:v>
                </c:pt>
                <c:pt idx="3">
                  <c:v>716</c:v>
                </c:pt>
                <c:pt idx="4">
                  <c:v>713</c:v>
                </c:pt>
                <c:pt idx="5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772-45C1-8514-61934764EF5F}"/>
            </c:ext>
          </c:extLst>
        </c:ser>
        <c:ser>
          <c:idx val="17"/>
          <c:order val="6"/>
          <c:tx>
            <c:strRef>
              <c:f>Sheet1!$R$2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Sheet1!$R$3:$R$12</c:f>
              <c:numCache>
                <c:formatCode>General</c:formatCode>
                <c:ptCount val="10"/>
                <c:pt idx="0">
                  <c:v>2048</c:v>
                </c:pt>
                <c:pt idx="1">
                  <c:v>2096</c:v>
                </c:pt>
                <c:pt idx="2">
                  <c:v>2108</c:v>
                </c:pt>
                <c:pt idx="3">
                  <c:v>2240</c:v>
                </c:pt>
                <c:pt idx="4">
                  <c:v>2252</c:v>
                </c:pt>
                <c:pt idx="5">
                  <c:v>2560</c:v>
                </c:pt>
                <c:pt idx="6">
                  <c:v>2572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772-45C1-8514-61934764EF5F}"/>
            </c:ext>
          </c:extLst>
        </c:ser>
        <c:ser>
          <c:idx val="18"/>
          <c:order val="7"/>
          <c:tx>
            <c:strRef>
              <c:f>Sheet1!$S$2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Sheet1!$S$3:$S$12</c:f>
              <c:numCache>
                <c:formatCode>General</c:formatCode>
                <c:ptCount val="10"/>
                <c:pt idx="0">
                  <c:v>2057</c:v>
                </c:pt>
                <c:pt idx="1">
                  <c:v>2108</c:v>
                </c:pt>
                <c:pt idx="2">
                  <c:v>2105</c:v>
                </c:pt>
                <c:pt idx="3">
                  <c:v>2252</c:v>
                </c:pt>
                <c:pt idx="4">
                  <c:v>2249</c:v>
                </c:pt>
                <c:pt idx="5">
                  <c:v>2620</c:v>
                </c:pt>
                <c:pt idx="6">
                  <c:v>2569</c:v>
                </c:pt>
                <c:pt idx="7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772-45C1-8514-61934764EF5F}"/>
            </c:ext>
          </c:extLst>
        </c:ser>
        <c:ser>
          <c:idx val="19"/>
          <c:order val="8"/>
          <c:tx>
            <c:strRef>
              <c:f>Sheet1!$T$2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Sheet1!$T$3:$T$12</c:f>
              <c:numCache>
                <c:formatCode>General</c:formatCode>
                <c:ptCount val="10"/>
                <c:pt idx="0">
                  <c:v>8192</c:v>
                </c:pt>
                <c:pt idx="1">
                  <c:v>8240</c:v>
                </c:pt>
                <c:pt idx="2">
                  <c:v>8252</c:v>
                </c:pt>
                <c:pt idx="3">
                  <c:v>8384</c:v>
                </c:pt>
                <c:pt idx="4">
                  <c:v>8396</c:v>
                </c:pt>
                <c:pt idx="5">
                  <c:v>8704</c:v>
                </c:pt>
                <c:pt idx="6">
                  <c:v>8716</c:v>
                </c:pt>
                <c:pt idx="7">
                  <c:v>10240</c:v>
                </c:pt>
                <c:pt idx="8">
                  <c:v>10252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772-45C1-8514-61934764EF5F}"/>
            </c:ext>
          </c:extLst>
        </c:ser>
        <c:ser>
          <c:idx val="20"/>
          <c:order val="9"/>
          <c:tx>
            <c:strRef>
              <c:f>Sheet1!$U$2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Sheet1!$U$3:$U$12</c:f>
              <c:numCache>
                <c:formatCode>General</c:formatCode>
                <c:ptCount val="10"/>
                <c:pt idx="0">
                  <c:v>8201</c:v>
                </c:pt>
                <c:pt idx="1">
                  <c:v>8252</c:v>
                </c:pt>
                <c:pt idx="2">
                  <c:v>8249</c:v>
                </c:pt>
                <c:pt idx="3">
                  <c:v>8396</c:v>
                </c:pt>
                <c:pt idx="4">
                  <c:v>8393</c:v>
                </c:pt>
                <c:pt idx="5">
                  <c:v>8716</c:v>
                </c:pt>
                <c:pt idx="6">
                  <c:v>8713</c:v>
                </c:pt>
                <c:pt idx="7">
                  <c:v>10252</c:v>
                </c:pt>
                <c:pt idx="8">
                  <c:v>10249</c:v>
                </c:pt>
                <c:pt idx="9">
                  <c:v>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772-45C1-8514-61934764EF5F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446758575"/>
        <c:axId val="1446763375"/>
        <c:axId val="1346190287"/>
      </c:surface3DChart>
      <c:catAx>
        <c:axId val="1446758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63375"/>
        <c:crosses val="autoZero"/>
        <c:auto val="1"/>
        <c:lblAlgn val="ctr"/>
        <c:lblOffset val="100"/>
        <c:noMultiLvlLbl val="0"/>
      </c:catAx>
      <c:valAx>
        <c:axId val="144676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58575"/>
        <c:crosses val="autoZero"/>
        <c:crossBetween val="midCat"/>
      </c:valAx>
      <c:serAx>
        <c:axId val="13461902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633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7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801281195782729E-2"/>
          <c:y val="1.8697047651523836E-2"/>
          <c:w val="0.92849530673072644"/>
          <c:h val="0.86679899367189583"/>
        </c:manualLayout>
      </c:layout>
      <c:surface3DChart>
        <c:wireframe val="0"/>
        <c:ser>
          <c:idx val="11"/>
          <c:order val="0"/>
          <c:tx>
            <c:strRef>
              <c:f>Sheet1!$V$2</c:f>
              <c:strCache>
                <c:ptCount val="1"/>
                <c:pt idx="0">
                  <c:v>0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Sheet1!$V$3:$V$12</c:f>
              <c:numCache>
                <c:formatCode>General</c:formatCode>
                <c:ptCount val="10"/>
                <c:pt idx="0">
                  <c:v>5.584962500721157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9-4DA7-8783-ACA0DB5856B6}"/>
            </c:ext>
          </c:extLst>
        </c:ser>
        <c:ser>
          <c:idx val="12"/>
          <c:order val="1"/>
          <c:tx>
            <c:strRef>
              <c:f>Sheet1!$W$2</c:f>
              <c:strCache>
                <c:ptCount val="1"/>
                <c:pt idx="0">
                  <c:v>1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Sheet1!$W$3:$W$12</c:f>
              <c:numCache>
                <c:formatCode>General</c:formatCode>
                <c:ptCount val="10"/>
                <c:pt idx="0">
                  <c:v>5.8328900141647422</c:v>
                </c:pt>
                <c:pt idx="1">
                  <c:v>5.9068905956085187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9-4DA7-8783-ACA0DB5856B6}"/>
            </c:ext>
          </c:extLst>
        </c:ser>
        <c:ser>
          <c:idx val="13"/>
          <c:order val="2"/>
          <c:tx>
            <c:strRef>
              <c:f>Sheet1!$X$2</c:f>
              <c:strCache>
                <c:ptCount val="1"/>
                <c:pt idx="0">
                  <c:v>2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Sheet1!$X$3:$X$12</c:f>
              <c:numCache>
                <c:formatCode>General</c:formatCode>
                <c:ptCount val="10"/>
                <c:pt idx="0">
                  <c:v>7.5849625007211561</c:v>
                </c:pt>
                <c:pt idx="1">
                  <c:v>7.9068905956085187</c:v>
                </c:pt>
                <c:pt idx="2">
                  <c:v>7.9772799234999168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89-4DA7-8783-ACA0DB5856B6}"/>
            </c:ext>
          </c:extLst>
        </c:ser>
        <c:ser>
          <c:idx val="14"/>
          <c:order val="3"/>
          <c:tx>
            <c:strRef>
              <c:f>Sheet1!$Y$2</c:f>
              <c:strCache>
                <c:ptCount val="1"/>
                <c:pt idx="0">
                  <c:v>3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Sheet1!$Y$3:$Y$12</c:f>
              <c:numCache>
                <c:formatCode>General</c:formatCode>
                <c:ptCount val="10"/>
                <c:pt idx="0">
                  <c:v>7.651051691178929</c:v>
                </c:pt>
                <c:pt idx="1">
                  <c:v>7.9772799234999168</c:v>
                </c:pt>
                <c:pt idx="2">
                  <c:v>7.9600019320680806</c:v>
                </c:pt>
                <c:pt idx="3">
                  <c:v>7.6724253419714952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89-4DA7-8783-ACA0DB5856B6}"/>
            </c:ext>
          </c:extLst>
        </c:ser>
        <c:ser>
          <c:idx val="15"/>
          <c:order val="4"/>
          <c:tx>
            <c:strRef>
              <c:f>Sheet1!$Z$2</c:f>
              <c:strCache>
                <c:ptCount val="1"/>
                <c:pt idx="0">
                  <c:v>4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Sheet1!$Z$3:$Z$12</c:f>
              <c:numCache>
                <c:formatCode>General</c:formatCode>
                <c:ptCount val="10"/>
                <c:pt idx="0">
                  <c:v>9</c:v>
                </c:pt>
                <c:pt idx="1">
                  <c:v>9.1292830169449672</c:v>
                </c:pt>
                <c:pt idx="2">
                  <c:v>9.1598713367783891</c:v>
                </c:pt>
                <c:pt idx="3">
                  <c:v>9.4594316186372964</c:v>
                </c:pt>
                <c:pt idx="4">
                  <c:v>9.4838157772642564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89-4DA7-8783-ACA0DB5856B6}"/>
            </c:ext>
          </c:extLst>
        </c:ser>
        <c:ser>
          <c:idx val="16"/>
          <c:order val="5"/>
          <c:tx>
            <c:strRef>
              <c:f>Sheet1!$AA$2</c:f>
              <c:strCache>
                <c:ptCount val="1"/>
                <c:pt idx="0">
                  <c:v>5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Sheet1!$AA$3:$AA$12</c:f>
              <c:numCache>
                <c:formatCode>General</c:formatCode>
                <c:ptCount val="10"/>
                <c:pt idx="0">
                  <c:v>9.0251395622785093</c:v>
                </c:pt>
                <c:pt idx="1">
                  <c:v>9.1598713367783891</c:v>
                </c:pt>
                <c:pt idx="2">
                  <c:v>9.1522848423065817</c:v>
                </c:pt>
                <c:pt idx="3">
                  <c:v>9.4838157772642564</c:v>
                </c:pt>
                <c:pt idx="4">
                  <c:v>9.4777582664438889</c:v>
                </c:pt>
                <c:pt idx="5">
                  <c:v>9.0334230015374501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89-4DA7-8783-ACA0DB5856B6}"/>
            </c:ext>
          </c:extLst>
        </c:ser>
        <c:ser>
          <c:idx val="17"/>
          <c:order val="6"/>
          <c:tx>
            <c:strRef>
              <c:f>Sheet1!$AB$2</c:f>
              <c:strCache>
                <c:ptCount val="1"/>
                <c:pt idx="0">
                  <c:v>6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Sheet1!$AB$3:$AB$12</c:f>
              <c:numCache>
                <c:formatCode>General</c:formatCode>
                <c:ptCount val="10"/>
                <c:pt idx="0">
                  <c:v>11</c:v>
                </c:pt>
                <c:pt idx="1">
                  <c:v>11.03342300153745</c:v>
                </c:pt>
                <c:pt idx="2">
                  <c:v>11.041659151637216</c:v>
                </c:pt>
                <c:pt idx="3">
                  <c:v>11.129283016944967</c:v>
                </c:pt>
                <c:pt idx="4">
                  <c:v>11.13699111208023</c:v>
                </c:pt>
                <c:pt idx="5">
                  <c:v>11.321928094887364</c:v>
                </c:pt>
                <c:pt idx="6">
                  <c:v>11.328674927327947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89-4DA7-8783-ACA0DB5856B6}"/>
            </c:ext>
          </c:extLst>
        </c:ser>
        <c:ser>
          <c:idx val="18"/>
          <c:order val="7"/>
          <c:tx>
            <c:strRef>
              <c:f>Sheet1!$AC$2</c:f>
              <c:strCache>
                <c:ptCount val="1"/>
                <c:pt idx="0">
                  <c:v>7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Sheet1!$AC$3:$AC$12</c:f>
              <c:numCache>
                <c:formatCode>General</c:formatCode>
                <c:ptCount val="10"/>
                <c:pt idx="0">
                  <c:v>11.006326078524935</c:v>
                </c:pt>
                <c:pt idx="1">
                  <c:v>11.041659151637216</c:v>
                </c:pt>
                <c:pt idx="2">
                  <c:v>11.039604517953759</c:v>
                </c:pt>
                <c:pt idx="3">
                  <c:v>11.13699111208023</c:v>
                </c:pt>
                <c:pt idx="4">
                  <c:v>11.135067945777816</c:v>
                </c:pt>
                <c:pt idx="5">
                  <c:v>11.355351096424814</c:v>
                </c:pt>
                <c:pt idx="6">
                  <c:v>11.326991174900817</c:v>
                </c:pt>
                <c:pt idx="7">
                  <c:v>11.008428622070582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89-4DA7-8783-ACA0DB5856B6}"/>
            </c:ext>
          </c:extLst>
        </c:ser>
        <c:ser>
          <c:idx val="19"/>
          <c:order val="8"/>
          <c:tx>
            <c:strRef>
              <c:f>Sheet1!$AD$2</c:f>
              <c:strCache>
                <c:ptCount val="1"/>
                <c:pt idx="0">
                  <c:v>8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Sheet1!$AD$3:$AD$12</c:f>
              <c:numCache>
                <c:formatCode>General</c:formatCode>
                <c:ptCount val="10"/>
                <c:pt idx="0">
                  <c:v>13</c:v>
                </c:pt>
                <c:pt idx="1">
                  <c:v>13.00842862207058</c:v>
                </c:pt>
                <c:pt idx="2">
                  <c:v>13.010528105886484</c:v>
                </c:pt>
                <c:pt idx="3">
                  <c:v>13.03342300153745</c:v>
                </c:pt>
                <c:pt idx="4">
                  <c:v>13.035486451292154</c:v>
                </c:pt>
                <c:pt idx="5">
                  <c:v>13.087462841250339</c:v>
                </c:pt>
                <c:pt idx="6">
                  <c:v>13.089450481115907</c:v>
                </c:pt>
                <c:pt idx="7">
                  <c:v>13.321928094887364</c:v>
                </c:pt>
                <c:pt idx="8">
                  <c:v>13.32361776329158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89-4DA7-8783-ACA0DB5856B6}"/>
            </c:ext>
          </c:extLst>
        </c:ser>
        <c:ser>
          <c:idx val="20"/>
          <c:order val="9"/>
          <c:tx>
            <c:strRef>
              <c:f>Sheet1!$AE$2</c:f>
              <c:strCache>
                <c:ptCount val="1"/>
                <c:pt idx="0">
                  <c:v>9</c:v>
                </c:pt>
              </c:strCache>
            </c:strRef>
          </c:tx>
          <c:cat>
            <c:strRef>
              <c:f>Sheet1!$A$3:$A$12</c:f>
              <c:strCache>
                <c:ptCount val="10"/>
                <c:pt idx="0">
                  <c:v>None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strCache>
            </c:strRef>
          </c:cat>
          <c:val>
            <c:numRef>
              <c:f>Sheet1!$AE$3:$AE$12</c:f>
              <c:numCache>
                <c:formatCode>General</c:formatCode>
                <c:ptCount val="10"/>
                <c:pt idx="0">
                  <c:v>13.001584122085351</c:v>
                </c:pt>
                <c:pt idx="1">
                  <c:v>13.010528105886484</c:v>
                </c:pt>
                <c:pt idx="2">
                  <c:v>13.010003521295205</c:v>
                </c:pt>
                <c:pt idx="3">
                  <c:v>13.035486451292154</c:v>
                </c:pt>
                <c:pt idx="4">
                  <c:v>13.034970865471829</c:v>
                </c:pt>
                <c:pt idx="5">
                  <c:v>13.089450481115907</c:v>
                </c:pt>
                <c:pt idx="6">
                  <c:v>13.088953827817907</c:v>
                </c:pt>
                <c:pt idx="7">
                  <c:v>13.32361776329158</c:v>
                </c:pt>
                <c:pt idx="8">
                  <c:v>13.32319553167814</c:v>
                </c:pt>
                <c:pt idx="9">
                  <c:v>13.002111776479852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89-4DA7-8783-ACA0DB5856B6}"/>
            </c:ext>
          </c:extLst>
        </c:ser>
        <c:bandFmts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446758575"/>
        <c:axId val="1446763375"/>
        <c:axId val="1346190287"/>
      </c:surface3DChart>
      <c:catAx>
        <c:axId val="1446758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63375"/>
        <c:crosses val="autoZero"/>
        <c:auto val="1"/>
        <c:lblAlgn val="ctr"/>
        <c:lblOffset val="100"/>
        <c:noMultiLvlLbl val="0"/>
      </c:catAx>
      <c:valAx>
        <c:axId val="144676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58575"/>
        <c:crosses val="autoZero"/>
        <c:crossBetween val="midCat"/>
      </c:valAx>
      <c:serAx>
        <c:axId val="13461902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63375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257174</xdr:colOff>
      <xdr:row>12</xdr:row>
      <xdr:rowOff>61911</xdr:rowOff>
    </xdr:from>
    <xdr:to>
      <xdr:col>20</xdr:col>
      <xdr:colOff>228599</xdr:colOff>
      <xdr:row>40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54999-62FD-10A9-8D52-5E02E85D2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371475</xdr:colOff>
      <xdr:row>12</xdr:row>
      <xdr:rowOff>95250</xdr:rowOff>
    </xdr:from>
    <xdr:to>
      <xdr:col>39</xdr:col>
      <xdr:colOff>28575</xdr:colOff>
      <xdr:row>41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8DB440-53C5-4952-8194-4A0246AF3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092-CAA6-4967-8C62-2990C6F4B480}">
  <dimension ref="A1:AE14"/>
  <sheetViews>
    <sheetView tabSelected="1" topLeftCell="H1" workbookViewId="0">
      <selection activeCell="Q8" sqref="Q8"/>
    </sheetView>
  </sheetViews>
  <sheetFormatPr defaultRowHeight="15" x14ac:dyDescent="0.25"/>
  <sheetData>
    <row r="1" spans="1:31" x14ac:dyDescent="0.25">
      <c r="L1" t="s">
        <v>1</v>
      </c>
      <c r="M1">
        <v>1332483</v>
      </c>
      <c r="V1" t="s">
        <v>2</v>
      </c>
    </row>
    <row r="2" spans="1:31" x14ac:dyDescent="0.25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0</v>
      </c>
      <c r="W2">
        <v>1</v>
      </c>
      <c r="X2">
        <v>2</v>
      </c>
      <c r="Y2">
        <v>3</v>
      </c>
      <c r="Z2">
        <v>4</v>
      </c>
      <c r="AA2">
        <v>5</v>
      </c>
      <c r="AB2">
        <v>6</v>
      </c>
      <c r="AC2">
        <v>7</v>
      </c>
      <c r="AD2">
        <v>8</v>
      </c>
      <c r="AE2">
        <v>9</v>
      </c>
    </row>
    <row r="3" spans="1:31" x14ac:dyDescent="0.25">
      <c r="A3" s="1" t="s">
        <v>0</v>
      </c>
      <c r="B3" s="1">
        <v>1332531</v>
      </c>
      <c r="C3" s="1">
        <v>1332540</v>
      </c>
      <c r="D3" s="1">
        <v>1332675</v>
      </c>
      <c r="E3" s="1">
        <v>1332684</v>
      </c>
      <c r="F3" s="1">
        <v>1332995</v>
      </c>
      <c r="G3" s="1">
        <v>1333004</v>
      </c>
      <c r="H3" s="1">
        <v>1334531</v>
      </c>
      <c r="I3" s="1">
        <v>1334540</v>
      </c>
      <c r="J3" s="1">
        <v>1340675</v>
      </c>
      <c r="K3" s="1">
        <v>1340684</v>
      </c>
      <c r="L3">
        <f>B3-$M$1</f>
        <v>48</v>
      </c>
      <c r="M3">
        <f t="shared" ref="M3:U12" si="0">C3-$M$1</f>
        <v>57</v>
      </c>
      <c r="N3">
        <f t="shared" si="0"/>
        <v>192</v>
      </c>
      <c r="O3">
        <f t="shared" si="0"/>
        <v>201</v>
      </c>
      <c r="P3">
        <f t="shared" si="0"/>
        <v>512</v>
      </c>
      <c r="Q3">
        <f t="shared" si="0"/>
        <v>521</v>
      </c>
      <c r="R3">
        <f t="shared" si="0"/>
        <v>2048</v>
      </c>
      <c r="S3">
        <f t="shared" si="0"/>
        <v>2057</v>
      </c>
      <c r="T3">
        <f t="shared" si="0"/>
        <v>8192</v>
      </c>
      <c r="U3">
        <f t="shared" si="0"/>
        <v>8201</v>
      </c>
      <c r="V3">
        <f>LOG(L3,2)</f>
        <v>5.584962500721157</v>
      </c>
      <c r="W3">
        <f t="shared" ref="W3:AE12" si="1">LOG(M3,2)</f>
        <v>5.8328900141647422</v>
      </c>
      <c r="X3">
        <f t="shared" si="1"/>
        <v>7.5849625007211561</v>
      </c>
      <c r="Y3">
        <f t="shared" si="1"/>
        <v>7.651051691178929</v>
      </c>
      <c r="Z3">
        <f t="shared" si="1"/>
        <v>9</v>
      </c>
      <c r="AA3">
        <f t="shared" si="1"/>
        <v>9.0251395622785093</v>
      </c>
      <c r="AB3">
        <f t="shared" si="1"/>
        <v>11</v>
      </c>
      <c r="AC3">
        <f t="shared" si="1"/>
        <v>11.006326078524935</v>
      </c>
      <c r="AD3">
        <f t="shared" si="1"/>
        <v>13</v>
      </c>
      <c r="AE3">
        <f t="shared" si="1"/>
        <v>13.001584122085351</v>
      </c>
    </row>
    <row r="4" spans="1:31" x14ac:dyDescent="0.25">
      <c r="A4">
        <v>0</v>
      </c>
      <c r="B4" s="1"/>
      <c r="C4">
        <v>1332543</v>
      </c>
      <c r="D4">
        <v>1332723</v>
      </c>
      <c r="E4">
        <v>1332735</v>
      </c>
      <c r="F4">
        <v>1333043</v>
      </c>
      <c r="G4">
        <v>1333055</v>
      </c>
      <c r="H4">
        <v>1334579</v>
      </c>
      <c r="I4">
        <v>1334591</v>
      </c>
      <c r="J4">
        <v>1340723</v>
      </c>
      <c r="K4">
        <v>1340735</v>
      </c>
      <c r="M4" s="4">
        <f t="shared" si="0"/>
        <v>60</v>
      </c>
      <c r="N4">
        <f t="shared" si="0"/>
        <v>240</v>
      </c>
      <c r="O4">
        <f t="shared" si="0"/>
        <v>252</v>
      </c>
      <c r="P4">
        <f t="shared" si="0"/>
        <v>560</v>
      </c>
      <c r="Q4">
        <f t="shared" si="0"/>
        <v>572</v>
      </c>
      <c r="R4">
        <f t="shared" si="0"/>
        <v>2096</v>
      </c>
      <c r="S4">
        <f t="shared" si="0"/>
        <v>2108</v>
      </c>
      <c r="T4">
        <f t="shared" si="0"/>
        <v>8240</v>
      </c>
      <c r="U4">
        <f t="shared" si="0"/>
        <v>8252</v>
      </c>
      <c r="W4">
        <f t="shared" si="1"/>
        <v>5.9068905956085187</v>
      </c>
      <c r="X4">
        <f t="shared" si="1"/>
        <v>7.9068905956085187</v>
      </c>
      <c r="Y4">
        <f t="shared" si="1"/>
        <v>7.9772799234999168</v>
      </c>
      <c r="Z4">
        <f t="shared" si="1"/>
        <v>9.1292830169449672</v>
      </c>
      <c r="AA4">
        <f t="shared" si="1"/>
        <v>9.1598713367783891</v>
      </c>
      <c r="AB4">
        <f t="shared" si="1"/>
        <v>11.03342300153745</v>
      </c>
      <c r="AC4">
        <f t="shared" si="1"/>
        <v>11.041659151637216</v>
      </c>
      <c r="AD4">
        <f t="shared" si="1"/>
        <v>13.00842862207058</v>
      </c>
      <c r="AE4">
        <f t="shared" si="1"/>
        <v>13.010528105886484</v>
      </c>
    </row>
    <row r="5" spans="1:31" x14ac:dyDescent="0.25">
      <c r="A5" s="1">
        <v>1</v>
      </c>
      <c r="B5" s="1"/>
      <c r="C5" s="1"/>
      <c r="D5" s="1">
        <v>1332735</v>
      </c>
      <c r="E5" s="1">
        <v>1332732</v>
      </c>
      <c r="F5" s="1">
        <v>1333055</v>
      </c>
      <c r="G5" s="1">
        <v>1333052</v>
      </c>
      <c r="H5" s="1">
        <v>1334591</v>
      </c>
      <c r="I5" s="1">
        <v>1334588</v>
      </c>
      <c r="J5" s="1">
        <v>1340735</v>
      </c>
      <c r="K5" s="1">
        <v>1340732</v>
      </c>
      <c r="N5">
        <f t="shared" si="0"/>
        <v>252</v>
      </c>
      <c r="O5">
        <f t="shared" si="0"/>
        <v>249</v>
      </c>
      <c r="P5">
        <f t="shared" si="0"/>
        <v>572</v>
      </c>
      <c r="Q5">
        <f t="shared" si="0"/>
        <v>569</v>
      </c>
      <c r="R5">
        <f t="shared" si="0"/>
        <v>2108</v>
      </c>
      <c r="S5">
        <f t="shared" si="0"/>
        <v>2105</v>
      </c>
      <c r="T5">
        <f t="shared" si="0"/>
        <v>8252</v>
      </c>
      <c r="U5">
        <f t="shared" si="0"/>
        <v>8249</v>
      </c>
      <c r="X5">
        <f t="shared" si="1"/>
        <v>7.9772799234999168</v>
      </c>
      <c r="Y5">
        <f t="shared" si="1"/>
        <v>7.9600019320680806</v>
      </c>
      <c r="Z5">
        <f t="shared" si="1"/>
        <v>9.1598713367783891</v>
      </c>
      <c r="AA5">
        <f t="shared" si="1"/>
        <v>9.1522848423065817</v>
      </c>
      <c r="AB5">
        <f t="shared" si="1"/>
        <v>11.041659151637216</v>
      </c>
      <c r="AC5">
        <f t="shared" si="1"/>
        <v>11.039604517953759</v>
      </c>
      <c r="AD5">
        <f t="shared" si="1"/>
        <v>13.010528105886484</v>
      </c>
      <c r="AE5">
        <f t="shared" si="1"/>
        <v>13.010003521295205</v>
      </c>
    </row>
    <row r="6" spans="1:31" x14ac:dyDescent="0.25">
      <c r="A6">
        <v>2</v>
      </c>
      <c r="B6" s="1"/>
      <c r="C6" s="1"/>
      <c r="D6" s="1"/>
      <c r="E6">
        <v>1332687</v>
      </c>
      <c r="F6">
        <v>1333187</v>
      </c>
      <c r="G6">
        <v>1333199</v>
      </c>
      <c r="H6">
        <v>1334723</v>
      </c>
      <c r="I6">
        <v>1334735</v>
      </c>
      <c r="J6">
        <v>1340867</v>
      </c>
      <c r="K6" s="3">
        <v>1340879</v>
      </c>
      <c r="O6" s="4">
        <f t="shared" si="0"/>
        <v>204</v>
      </c>
      <c r="P6">
        <f t="shared" si="0"/>
        <v>704</v>
      </c>
      <c r="Q6">
        <f t="shared" si="0"/>
        <v>716</v>
      </c>
      <c r="R6">
        <f t="shared" si="0"/>
        <v>2240</v>
      </c>
      <c r="S6">
        <f t="shared" si="0"/>
        <v>2252</v>
      </c>
      <c r="T6">
        <f t="shared" si="0"/>
        <v>8384</v>
      </c>
      <c r="U6">
        <f t="shared" si="0"/>
        <v>8396</v>
      </c>
      <c r="Y6">
        <f t="shared" si="1"/>
        <v>7.6724253419714952</v>
      </c>
      <c r="Z6">
        <f t="shared" si="1"/>
        <v>9.4594316186372964</v>
      </c>
      <c r="AA6">
        <f t="shared" si="1"/>
        <v>9.4838157772642564</v>
      </c>
      <c r="AB6">
        <f t="shared" si="1"/>
        <v>11.129283016944967</v>
      </c>
      <c r="AC6">
        <f t="shared" si="1"/>
        <v>11.13699111208023</v>
      </c>
      <c r="AD6">
        <f t="shared" si="1"/>
        <v>13.03342300153745</v>
      </c>
      <c r="AE6">
        <f t="shared" si="1"/>
        <v>13.035486451292154</v>
      </c>
    </row>
    <row r="7" spans="1:31" x14ac:dyDescent="0.25">
      <c r="A7" s="1">
        <v>3</v>
      </c>
      <c r="B7" s="1"/>
      <c r="C7" s="1"/>
      <c r="D7" s="1"/>
      <c r="E7" s="1"/>
      <c r="F7" s="1">
        <v>1333199</v>
      </c>
      <c r="G7" s="1">
        <v>1333196</v>
      </c>
      <c r="H7" s="1">
        <v>1334735</v>
      </c>
      <c r="I7" s="1">
        <v>1334732</v>
      </c>
      <c r="J7" s="1">
        <v>1340879</v>
      </c>
      <c r="K7" s="1">
        <v>1340876</v>
      </c>
      <c r="P7">
        <f t="shared" si="0"/>
        <v>716</v>
      </c>
      <c r="Q7">
        <f t="shared" si="0"/>
        <v>713</v>
      </c>
      <c r="R7">
        <f t="shared" si="0"/>
        <v>2252</v>
      </c>
      <c r="S7">
        <f t="shared" si="0"/>
        <v>2249</v>
      </c>
      <c r="T7">
        <f t="shared" si="0"/>
        <v>8396</v>
      </c>
      <c r="U7">
        <f t="shared" si="0"/>
        <v>8393</v>
      </c>
      <c r="Z7">
        <f t="shared" si="1"/>
        <v>9.4838157772642564</v>
      </c>
      <c r="AA7">
        <f t="shared" si="1"/>
        <v>9.4777582664438889</v>
      </c>
      <c r="AB7">
        <f t="shared" si="1"/>
        <v>11.13699111208023</v>
      </c>
      <c r="AC7">
        <f t="shared" si="1"/>
        <v>11.135067945777816</v>
      </c>
      <c r="AD7">
        <f t="shared" si="1"/>
        <v>13.035486451292154</v>
      </c>
      <c r="AE7">
        <f t="shared" si="1"/>
        <v>13.034970865471829</v>
      </c>
    </row>
    <row r="8" spans="1:31" x14ac:dyDescent="0.25">
      <c r="A8">
        <v>4</v>
      </c>
      <c r="B8" s="1"/>
      <c r="C8" s="1"/>
      <c r="D8" s="1"/>
      <c r="E8" s="1"/>
      <c r="F8" s="1"/>
      <c r="G8">
        <v>1333007</v>
      </c>
      <c r="H8" s="2">
        <v>1335043</v>
      </c>
      <c r="I8" s="2">
        <v>1335103</v>
      </c>
      <c r="J8" s="2">
        <v>1341187</v>
      </c>
      <c r="K8" s="2">
        <v>1341199</v>
      </c>
      <c r="Q8" s="4">
        <f t="shared" si="0"/>
        <v>524</v>
      </c>
      <c r="R8">
        <f t="shared" si="0"/>
        <v>2560</v>
      </c>
      <c r="S8">
        <f t="shared" si="0"/>
        <v>2620</v>
      </c>
      <c r="T8">
        <f t="shared" si="0"/>
        <v>8704</v>
      </c>
      <c r="U8">
        <f t="shared" si="0"/>
        <v>8716</v>
      </c>
      <c r="AA8">
        <f t="shared" si="1"/>
        <v>9.0334230015374501</v>
      </c>
      <c r="AB8">
        <f t="shared" si="1"/>
        <v>11.321928094887364</v>
      </c>
      <c r="AC8">
        <f t="shared" si="1"/>
        <v>11.355351096424814</v>
      </c>
      <c r="AD8">
        <f t="shared" si="1"/>
        <v>13.087462841250339</v>
      </c>
      <c r="AE8">
        <f t="shared" si="1"/>
        <v>13.089450481115907</v>
      </c>
    </row>
    <row r="9" spans="1:31" x14ac:dyDescent="0.25">
      <c r="A9" s="1">
        <v>5</v>
      </c>
      <c r="B9" s="1"/>
      <c r="C9" s="1"/>
      <c r="D9" s="1"/>
      <c r="E9" s="1"/>
      <c r="F9" s="1"/>
      <c r="G9" s="1"/>
      <c r="H9" s="1">
        <v>1335055</v>
      </c>
      <c r="I9" s="1">
        <v>1335052</v>
      </c>
      <c r="J9" s="1">
        <v>1341199</v>
      </c>
      <c r="K9" s="1">
        <v>1341196</v>
      </c>
      <c r="R9">
        <f t="shared" si="0"/>
        <v>2572</v>
      </c>
      <c r="S9">
        <f t="shared" si="0"/>
        <v>2569</v>
      </c>
      <c r="T9">
        <f t="shared" si="0"/>
        <v>8716</v>
      </c>
      <c r="U9">
        <f t="shared" si="0"/>
        <v>8713</v>
      </c>
      <c r="AB9">
        <f t="shared" si="1"/>
        <v>11.328674927327947</v>
      </c>
      <c r="AC9">
        <f t="shared" si="1"/>
        <v>11.326991174900817</v>
      </c>
      <c r="AD9">
        <f t="shared" si="1"/>
        <v>13.089450481115907</v>
      </c>
      <c r="AE9">
        <f t="shared" si="1"/>
        <v>13.088953827817907</v>
      </c>
    </row>
    <row r="10" spans="1:31" x14ac:dyDescent="0.25">
      <c r="A10">
        <v>6</v>
      </c>
      <c r="B10" s="1"/>
      <c r="C10" s="1"/>
      <c r="D10" s="1"/>
      <c r="E10" s="1"/>
      <c r="F10" s="1"/>
      <c r="G10" s="1"/>
      <c r="H10" s="1"/>
      <c r="I10">
        <v>1334543</v>
      </c>
      <c r="J10" s="2">
        <v>1342723</v>
      </c>
      <c r="K10" s="2">
        <v>1342735</v>
      </c>
      <c r="S10" s="4">
        <f t="shared" si="0"/>
        <v>2060</v>
      </c>
      <c r="T10">
        <f t="shared" si="0"/>
        <v>10240</v>
      </c>
      <c r="U10">
        <f t="shared" si="0"/>
        <v>10252</v>
      </c>
      <c r="AC10">
        <f t="shared" si="1"/>
        <v>11.008428622070582</v>
      </c>
      <c r="AD10">
        <f t="shared" si="1"/>
        <v>13.321928094887364</v>
      </c>
      <c r="AE10">
        <f t="shared" si="1"/>
        <v>13.32361776329158</v>
      </c>
    </row>
    <row r="11" spans="1:31" x14ac:dyDescent="0.25">
      <c r="A11" s="1">
        <v>7</v>
      </c>
      <c r="B11" s="1"/>
      <c r="C11" s="1"/>
      <c r="D11" s="1"/>
      <c r="E11" s="1"/>
      <c r="F11" s="1"/>
      <c r="G11" s="1"/>
      <c r="H11" s="1"/>
      <c r="I11" s="1"/>
      <c r="J11" s="1">
        <v>1342735</v>
      </c>
      <c r="K11" s="1">
        <v>1342732</v>
      </c>
      <c r="T11">
        <f t="shared" si="0"/>
        <v>10252</v>
      </c>
      <c r="U11">
        <f t="shared" si="0"/>
        <v>10249</v>
      </c>
      <c r="AD11">
        <f t="shared" si="1"/>
        <v>13.32361776329158</v>
      </c>
      <c r="AE11">
        <f t="shared" si="1"/>
        <v>13.32319553167814</v>
      </c>
    </row>
    <row r="12" spans="1:31" x14ac:dyDescent="0.25">
      <c r="A12">
        <v>8</v>
      </c>
      <c r="B12" s="1"/>
      <c r="C12" s="1"/>
      <c r="D12" s="1"/>
      <c r="E12" s="1"/>
      <c r="F12" s="1"/>
      <c r="G12" s="1"/>
      <c r="H12" s="1"/>
      <c r="I12" s="1"/>
      <c r="J12" s="1"/>
      <c r="K12">
        <v>1340687</v>
      </c>
      <c r="U12" s="4">
        <f t="shared" si="0"/>
        <v>8204</v>
      </c>
      <c r="AE12">
        <f t="shared" si="1"/>
        <v>13.002111776479852</v>
      </c>
    </row>
    <row r="14" spans="1:31" ht="75" customHeight="1" x14ac:dyDescent="0.25">
      <c r="A14" s="5" t="s">
        <v>3</v>
      </c>
      <c r="B14" s="5"/>
      <c r="C14" s="5"/>
      <c r="D14" s="5"/>
    </row>
  </sheetData>
  <mergeCells count="1">
    <mergeCell ref="A14:D14"/>
  </mergeCells>
  <conditionalFormatting sqref="B3:K3 D5:K5 E6:K6 F7:K7 G8:K8 H9:K9 I10:K10 J11:K11 K12 C4:K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French</dc:creator>
  <cp:lastModifiedBy>Felix French</cp:lastModifiedBy>
  <dcterms:created xsi:type="dcterms:W3CDTF">2024-09-22T10:15:29Z</dcterms:created>
  <dcterms:modified xsi:type="dcterms:W3CDTF">2024-09-22T11:10:57Z</dcterms:modified>
</cp:coreProperties>
</file>